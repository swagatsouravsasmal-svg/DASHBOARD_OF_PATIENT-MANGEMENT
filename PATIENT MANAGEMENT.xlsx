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hidePivotFieldList="1"/>
  <mc:AlternateContent xmlns:mc="http://schemas.openxmlformats.org/markup-compatibility/2006">
    <mc:Choice Requires="x15">
      <x15ac:absPath xmlns:x15ac="http://schemas.microsoft.com/office/spreadsheetml/2010/11/ac" url="C:\Users\HP\OneDrive\Desktop\DATA ANALYSTICS NOTES\DATA ANALIST PROJECTS FILES\"/>
    </mc:Choice>
  </mc:AlternateContent>
  <xr:revisionPtr revIDLastSave="0" documentId="13_ncr:1_{29173C28-57CE-48DC-B7AE-B1D73D17BA9D}" xr6:coauthVersionLast="47" xr6:coauthVersionMax="47" xr10:uidLastSave="{00000000-0000-0000-0000-000000000000}"/>
  <bookViews>
    <workbookView xWindow="-108" yWindow="-108" windowWidth="23256" windowHeight="12456" activeTab="1" xr2:uid="{00000000-000D-0000-FFFF-FFFF00000000}"/>
  </bookViews>
  <sheets>
    <sheet name="pivot table" sheetId="1" r:id="rId1"/>
    <sheet name="dashboard" sheetId="10" r:id="rId2"/>
  </sheets>
  <definedNames>
    <definedName name="Slicer_Dates__Month">#N/A</definedName>
    <definedName name="Slicer_Dates__Year">#N/A</definedName>
  </definedNames>
  <calcPr calcId="191029"/>
  <pivotCaches>
    <pivotCache cacheId="0" r:id="rId3"/>
    <pivotCache cacheId="1" r:id="rId4"/>
    <pivotCache cacheId="2" r:id="rId5"/>
    <pivotCache cacheId="3" r:id="rId6"/>
    <pivotCache cacheId="4" r:id="rId7"/>
    <pivotCache cacheId="5" r:id="rId8"/>
    <pivotCache cacheId="6" r:id="rId9"/>
    <pivotCache cacheId="7" r:id="rId10"/>
    <pivotCache cacheId="8" r:id="rId11"/>
    <pivotCache cacheId="9" r:id="rId12"/>
    <pivotCache cacheId="10" r:id="rId13"/>
    <pivotCache cacheId="11" r:id="rId14"/>
    <pivotCache cacheId="12" r:id="rId15"/>
  </pivotCaches>
  <extLst>
    <ext xmlns:x14="http://schemas.microsoft.com/office/spreadsheetml/2009/9/main" uri="{876F7934-8845-4945-9796-88D515C7AA90}">
      <x14:pivotCaches>
        <pivotCache cacheId="13" r:id="rId16"/>
      </x14:pivotCaches>
    </ext>
    <ext xmlns:x14="http://schemas.microsoft.com/office/spreadsheetml/2009/9/main" uri="{BBE1A952-AA13-448e-AADC-164F8A28A991}">
      <x14:slicerCaches>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fba28066-8478-43a5-ab7f-63862d2a3ed4" name="Hospital Emergency Room Data" connection="Query - Hospital Emergency Room Data"/>
          <x15:modelTable id="Calender_table_6b696382-19ed-42df-b54c-e1df424ce8d6" name="Calender_table" connection="Query - Calender_table"/>
        </x15:modelTables>
        <x15:modelRelationships>
          <x15:modelRelationship fromTable="Hospital Emergency Room Data" fromColumn="Patient Admission Date" toTable="Calender_table" toColumn="Dates"/>
        </x15:modelRelationships>
        <x15:extLst>
          <ext xmlns:x16="http://schemas.microsoft.com/office/spreadsheetml/2014/11/main" uri="{9835A34E-60A6-4A7C-AAB8-D5F71C897F49}">
            <x16:modelTimeGroupings>
              <x16:modelTimeGrouping tableName="Calender_table" columnName="Dates" columnId="Dates">
                <x16:calculatedTimeColumn columnName="Dates (Year)" columnId="Dates (Year)" contentType="years" isSelected="1"/>
                <x16:calculatedTimeColumn columnName="Dates (Quarter)" columnId="Dates (Quarter)" contentType="quarters" isSelected="1"/>
                <x16:calculatedTimeColumn columnName="Dates (Month Index)" columnId="Dates (Month Index)" contentType="monthsindex" isSelected="1"/>
                <x16:calculatedTimeColumn columnName="Dates (Month)" columnId="Dates (Month)" contentType="months" isSelected="1"/>
                <x16:calculatedTimeColumn columnName="Dates (Day Index)" columnId="Dates (Day Index)" contentType="daysindex" isSelected="0"/>
                <x16:calculatedTimeColumn columnName="Dates (Day)" columnId="Dates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36" i="1" l="1"/>
  <c r="C36" i="1"/>
  <c r="B35" i="1"/>
  <c r="C35" i="1"/>
  <c r="A36" i="1"/>
  <c r="A35"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F51E2B0-99BE-460B-873D-43BBEE8B7D27}" name="Query - Calender_table" description="Connection to the 'Calender_table' query in the workbook." type="100" refreshedVersion="7" minRefreshableVersion="5">
    <extLst>
      <ext xmlns:x15="http://schemas.microsoft.com/office/spreadsheetml/2010/11/main" uri="{DE250136-89BD-433C-8126-D09CA5730AF9}">
        <x15:connection id="99f49b35-1c0c-46a8-9f76-f85ada137a5c">
          <x15:oledbPr connection="Provider=Microsoft.Mashup.OleDb.1;Data Source=$Workbook$;Location=Calender_table;Extended Properties=&quot;&quot;">
            <x15:dbTables>
              <x15:dbTable name="Calender_table"/>
            </x15:dbTables>
          </x15:oledbPr>
        </x15:connection>
      </ext>
    </extLst>
  </connection>
  <connection id="2" xr16:uid="{E0035966-01AD-4EDD-A586-ED2FB9EED068}" name="Query - Hospital Emergency Room Data" description="Connection to the 'Hospital Emergency Room Data' query in the workbook." type="100" refreshedVersion="7" minRefreshableVersion="5">
    <extLst>
      <ext xmlns:x15="http://schemas.microsoft.com/office/spreadsheetml/2010/11/main" uri="{DE250136-89BD-433C-8126-D09CA5730AF9}">
        <x15:connection id="7406b903-d4f9-4f7b-a0a5-a5c71b4636ad"/>
      </ext>
    </extLst>
  </connection>
  <connection id="3" xr16:uid="{C71763B0-7163-47C2-9B7C-3F2E0B3BD638}" keepAlive="1" name="ThisWorkbookDataModel" description="Data Model" type="5" refreshedVersion="7"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<sst xmlns="http://schemas.openxmlformats.org/spreadsheetml/2006/main" count="154" uniqueCount="70">
  <si>
    <t>Grand Total</t>
  </si>
  <si>
    <t>Distinct Count of Patient Id</t>
  </si>
  <si>
    <t>Average of Patient Waittime</t>
  </si>
  <si>
    <t>Average of Patient Satisfaction Score</t>
  </si>
  <si>
    <t>Row Labels</t>
  </si>
  <si>
    <t>Count of Patient Admission Flag</t>
  </si>
  <si>
    <t>Admitted</t>
  </si>
  <si>
    <t>Notadmitted</t>
  </si>
  <si>
    <t>Count of Patient Admission Flag2</t>
  </si>
  <si>
    <t>Count of Department Referral</t>
  </si>
  <si>
    <t>Cardiology</t>
  </si>
  <si>
    <t>Gastroenterology</t>
  </si>
  <si>
    <t>General Practice</t>
  </si>
  <si>
    <t>Neurology</t>
  </si>
  <si>
    <t>None</t>
  </si>
  <si>
    <t>Orthopedics</t>
  </si>
  <si>
    <t>Physiotherapy</t>
  </si>
  <si>
    <t>Renal</t>
  </si>
  <si>
    <t>Female</t>
  </si>
  <si>
    <t>Male</t>
  </si>
  <si>
    <t>Count of Patient Gender</t>
  </si>
  <si>
    <t>2024</t>
  </si>
  <si>
    <t>Count of Calculated Column 1</t>
  </si>
  <si>
    <t>ADDMISSION STATUS</t>
  </si>
  <si>
    <t>PATIENTS</t>
  </si>
  <si>
    <t>STATUS</t>
  </si>
  <si>
    <t>CHART</t>
  </si>
  <si>
    <t>20-29</t>
  </si>
  <si>
    <t>Delay</t>
  </si>
  <si>
    <t>30-39</t>
  </si>
  <si>
    <t>60-69</t>
  </si>
  <si>
    <t>70-79</t>
  </si>
  <si>
    <t>Ontime</t>
  </si>
  <si>
    <t>10-19</t>
  </si>
  <si>
    <t>50-59</t>
  </si>
  <si>
    <t>0-9</t>
  </si>
  <si>
    <t>Count of Patient Age Group</t>
  </si>
  <si>
    <t>40-49</t>
  </si>
  <si>
    <t>ATTEND STATUS</t>
  </si>
  <si>
    <t xml:space="preserve">C </t>
  </si>
  <si>
    <t>1-Jun</t>
  </si>
  <si>
    <t>2-Jun</t>
  </si>
  <si>
    <t>3-Jun</t>
  </si>
  <si>
    <t>4-Jun</t>
  </si>
  <si>
    <t>5-Jun</t>
  </si>
  <si>
    <t>6-Jun</t>
  </si>
  <si>
    <t>7-Jun</t>
  </si>
  <si>
    <t>8-Jun</t>
  </si>
  <si>
    <t>9-Jun</t>
  </si>
  <si>
    <t>10-Jun</t>
  </si>
  <si>
    <t>11-Jun</t>
  </si>
  <si>
    <t>12-Jun</t>
  </si>
  <si>
    <t>13-Jun</t>
  </si>
  <si>
    <t>14-Jun</t>
  </si>
  <si>
    <t>15-Jun</t>
  </si>
  <si>
    <t>16-Jun</t>
  </si>
  <si>
    <t>17-Jun</t>
  </si>
  <si>
    <t>18-Jun</t>
  </si>
  <si>
    <t>19-Jun</t>
  </si>
  <si>
    <t>20-Jun</t>
  </si>
  <si>
    <t>21-Jun</t>
  </si>
  <si>
    <t>22-Jun</t>
  </si>
  <si>
    <t>23-Jun</t>
  </si>
  <si>
    <t>24-Jun</t>
  </si>
  <si>
    <t>25-Jun</t>
  </si>
  <si>
    <t>26-Jun</t>
  </si>
  <si>
    <t>27-Jun</t>
  </si>
  <si>
    <t>28-Jun</t>
  </si>
  <si>
    <t>29-Jun</t>
  </si>
  <si>
    <t>30-Jun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</si>
</sst>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0.0000"/>
    <numFmt numFmtId="165" formatCode="0.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color rgb="FF00B050"/>
      <name val="Calibri"/>
      <family val="2"/>
      <scheme val="minor"/>
    </font>
    <font>
      <sz val="11"/>
      <color rgb="FF00B050"/>
      <name val="Calibri"/>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1"/>
        <bgColor indexed="64"/>
      </patternFill>
    </fill>
  </fills>
  <borders count="2">
    <border>
      <left/>
      <right/>
      <top/>
      <bottom/>
      <diagonal/>
    </border>
    <border>
      <left/>
      <right/>
      <top/>
      <bottom style="thin">
        <color theme="4" tint="0.39997558519241921"/>
      </bottom>
      <diagonal/>
    </border>
  </borders>
  <cellStyleXfs count="2">
    <xf numFmtId="0" fontId="0" fillId="0" borderId="0"/>
    <xf numFmtId="9" fontId="1" fillId="0" borderId="0" applyFont="0" applyFill="0" applyBorder="0" applyAlignment="0" applyProtection="0"/>
  </cellStyleXfs>
  <cellXfs count="18">
    <xf numFmtId="0" fontId="0" fillId="0" borderId="0" xfId="0"/>
    <xf numFmtId="0" fontId="0" fillId="0" borderId="0" xfId="0" pivotButton="1"/>
    <xf numFmtId="0" fontId="0" fillId="0" borderId="0" xfId="0" applyNumberFormat="1" applyAlignment="1">
      <alignment horizontal="center"/>
    </xf>
    <xf numFmtId="0" fontId="0" fillId="0" borderId="0" xfId="0" applyAlignment="1">
      <alignment horizontal="center"/>
    </xf>
    <xf numFmtId="2" fontId="0" fillId="0" borderId="0" xfId="0" applyNumberFormat="1" applyAlignment="1">
      <alignment horizontal="center"/>
    </xf>
    <xf numFmtId="0" fontId="0" fillId="0" borderId="0" xfId="0" applyAlignment="1">
      <alignment horizontal="left"/>
    </xf>
    <xf numFmtId="1" fontId="0" fillId="0" borderId="0" xfId="0" applyNumberFormat="1" applyAlignment="1">
      <alignment horizontal="center"/>
    </xf>
    <xf numFmtId="0" fontId="0" fillId="0" borderId="0" xfId="0" pivotButton="1" applyAlignment="1">
      <alignment horizontal="center"/>
    </xf>
    <xf numFmtId="10" fontId="0" fillId="0" borderId="0" xfId="0" applyNumberFormat="1" applyAlignment="1">
      <alignment horizontal="center"/>
    </xf>
    <xf numFmtId="0" fontId="2" fillId="2" borderId="1" xfId="0" applyFont="1" applyFill="1" applyBorder="1" applyAlignment="1">
      <alignment horizontal="center"/>
    </xf>
    <xf numFmtId="164" fontId="0" fillId="0" borderId="0" xfId="0" applyNumberFormat="1" applyAlignment="1">
      <alignment horizontal="center"/>
    </xf>
    <xf numFmtId="0" fontId="0" fillId="3" borderId="0" xfId="0" applyFont="1" applyFill="1"/>
    <xf numFmtId="0" fontId="0" fillId="3" borderId="0" xfId="0" applyFill="1"/>
    <xf numFmtId="0" fontId="3" fillId="3" borderId="0" xfId="0" applyFont="1" applyFill="1" applyAlignment="1">
      <alignment horizontal="center" vertical="center"/>
    </xf>
    <xf numFmtId="0" fontId="4" fillId="3" borderId="0" xfId="0" applyFont="1" applyFill="1" applyAlignment="1">
      <alignment horizontal="center"/>
    </xf>
    <xf numFmtId="165" fontId="4" fillId="3" borderId="0" xfId="1" applyNumberFormat="1" applyFont="1" applyFill="1" applyAlignment="1">
      <alignment horizontal="center"/>
    </xf>
    <xf numFmtId="0" fontId="4" fillId="3" borderId="0" xfId="0" applyFont="1" applyFill="1"/>
    <xf numFmtId="10" fontId="4" fillId="3" borderId="0" xfId="1" applyNumberFormat="1" applyFont="1" applyFill="1" applyAlignment="1">
      <alignment horizontal="center"/>
    </xf>
  </cellXfs>
  <cellStyles count="2">
    <cellStyle name="Normal" xfId="0" builtinId="0"/>
    <cellStyle name="Percent" xfId="1" builtinId="5"/>
  </cellStyles>
  <dxfs count="51">
    <dxf>
      <alignment horizontal="center"/>
    </dxf>
    <dxf>
      <alignment horizontal="center"/>
    </dxf>
    <dxf>
      <alignment horizontal="center"/>
    </dxf>
    <dxf>
      <alignment horizontal="center"/>
    </dxf>
    <dxf>
      <alignment horizontal="center"/>
    </dxf>
    <dxf>
      <alignment horizontal="center"/>
    </dxf>
    <dxf>
      <alignment horizontal="center"/>
    </dxf>
    <dxf>
      <numFmt numFmtId="2" formatCode="0.00"/>
    </dxf>
    <dxf>
      <alignment horizontal="center"/>
    </dxf>
    <dxf>
      <alignment horizontal="center"/>
    </dxf>
    <dxf>
      <numFmt numFmtId="1" formatCode="0"/>
    </dxf>
    <dxf>
      <numFmt numFmtId="1" formatCode="0"/>
    </dxf>
    <dxf>
      <numFmt numFmtId="14" formatCode="0.00%"/>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164" formatCode="0.0000"/>
    </dxf>
    <dxf>
      <numFmt numFmtId="166" formatCode="0.000"/>
    </dxf>
    <dxf>
      <alignment horizontal="center"/>
    </dxf>
    <dxf>
      <alignment horizontal="center"/>
    </dxf>
    <dxf>
      <alignment horizontal="center"/>
    </dxf>
    <dxf>
      <alignment horizontal="center"/>
    </dxf>
    <dxf>
      <alignment horizontal="center"/>
    </dxf>
    <dxf>
      <numFmt numFmtId="2" formatCode="0.00"/>
    </dxf>
    <dxf>
      <numFmt numFmtId="2" formatCode="0.00"/>
    </dxf>
    <dxf>
      <numFmt numFmtId="2" formatCode="0.00"/>
    </dxf>
    <dxf>
      <numFmt numFmtId="2" formatCode="0.00"/>
    </dxf>
    <dxf>
      <numFmt numFmtId="164" formatCode="0.0000"/>
    </dxf>
    <dxf>
      <numFmt numFmtId="166" formatCode="0.000"/>
    </dxf>
    <dxf>
      <alignment horizontal="center"/>
    </dxf>
    <dxf>
      <numFmt numFmtId="2" formatCode="0.00"/>
    </dxf>
    <dxf>
      <numFmt numFmtId="2" formatCode="0.00"/>
    </dxf>
    <dxf>
      <numFmt numFmtId="2" formatCode="0.00"/>
    </dxf>
    <dxf>
      <numFmt numFmtId="164" formatCode="0.0000"/>
    </dxf>
    <dxf>
      <numFmt numFmtId="166" formatCode="0.000"/>
    </dxf>
    <dxf>
      <alignment horizontal="center"/>
    </dxf>
    <dxf>
      <font>
        <b/>
        <color theme="1"/>
      </font>
      <border>
        <bottom style="thin">
          <color theme="4"/>
        </bottom>
        <vertical/>
        <horizontal/>
      </border>
    </dxf>
    <dxf>
      <font>
        <color theme="1"/>
      </font>
      <border diagonalUp="0" diagonalDown="0">
        <left/>
        <right/>
        <top/>
        <bottom/>
        <vertical/>
        <horizontal/>
      </border>
    </dxf>
    <dxf>
      <font>
        <b/>
        <i val="0"/>
        <color theme="5" tint="-0.24994659260841701"/>
      </font>
      <fill>
        <patternFill>
          <bgColor theme="1"/>
        </patternFill>
      </fill>
      <border diagonalUp="0" diagonalDown="0">
        <left/>
        <right/>
        <top/>
        <bottom/>
        <vertical/>
        <horizontal/>
      </border>
    </dxf>
    <dxf>
      <font>
        <color rgb="FFFF0000"/>
      </font>
      <fill>
        <patternFill>
          <bgColor theme="1"/>
        </patternFill>
      </fill>
    </dxf>
    <dxf>
      <fill>
        <patternFill>
          <bgColor theme="1"/>
        </patternFill>
      </fill>
    </dxf>
    <dxf>
      <fill>
        <patternFill>
          <bgColor theme="0"/>
        </patternFill>
      </fill>
    </dxf>
    <dxf>
      <font>
        <b/>
        <i val="0"/>
      </font>
      <fill>
        <patternFill>
          <bgColor theme="9"/>
        </patternFill>
      </fill>
      <border diagonalUp="0" diagonalDown="0">
        <left/>
        <right/>
        <top/>
        <bottom/>
        <vertical/>
        <horizontal/>
      </border>
    </dxf>
    <dxf>
      <font>
        <b/>
        <color theme="1"/>
      </font>
      <border>
        <bottom style="thin">
          <color theme="5"/>
        </bottom>
        <vertical/>
        <horizontal/>
      </border>
    </dxf>
    <dxf>
      <font>
        <b/>
        <i val="0"/>
        <strike val="0"/>
        <sz val="9"/>
        <color theme="5"/>
        <name val="Arial"/>
        <family val="2"/>
        <scheme val="none"/>
      </font>
      <fill>
        <patternFill>
          <bgColor theme="1"/>
        </patternFill>
      </fill>
      <border diagonalUp="0" diagonalDown="0">
        <left/>
        <right/>
        <top/>
        <bottom/>
        <vertical/>
        <horizontal/>
      </border>
    </dxf>
    <dxf>
      <font>
        <b/>
        <color theme="1"/>
      </font>
      <border>
        <bottom style="thin">
          <color theme="4"/>
        </bottom>
        <vertical/>
        <horizontal/>
      </border>
    </dxf>
    <dxf>
      <font>
        <b/>
        <i val="0"/>
        <color theme="5" tint="-0.24994659260841701"/>
      </font>
      <fill>
        <patternFill>
          <bgColor theme="1"/>
        </patternFill>
      </fill>
      <border diagonalUp="0" diagonalDown="0">
        <left/>
        <right/>
        <top/>
        <bottom/>
        <vertical/>
        <horizontal/>
      </border>
    </dxf>
  </dxfs>
  <tableStyles count="8" defaultTableStyle="TableStyleMedium2" defaultPivotStyle="PivotStyleLight16">
    <tableStyle name="CHINU" pivot="0" table="0" count="10" xr9:uid="{E22DDEDB-FB91-4026-9604-2F57386C708B}">
      <tableStyleElement type="wholeTable" dxfId="50"/>
      <tableStyleElement type="headerRow" dxfId="49"/>
    </tableStyle>
    <tableStyle name="my style" pivot="0" table="0" count="10" xr9:uid="{76B575F2-950C-4652-BCDB-CA411199B268}">
      <tableStyleElement type="wholeTable" dxfId="48"/>
      <tableStyleElement type="headerRow" dxfId="47"/>
    </tableStyle>
    <tableStyle name="Slicer Style 1" pivot="0" table="0" count="1" xr9:uid="{EFF1B621-84B9-4BEF-AD76-763C3B19415C}">
      <tableStyleElement type="wholeTable" dxfId="46"/>
    </tableStyle>
    <tableStyle name="Slicer Style 2" pivot="0" table="0" count="1" xr9:uid="{D942B23D-F35E-439B-814C-4F195CF852D4}">
      <tableStyleElement type="wholeTable" dxfId="45"/>
    </tableStyle>
    <tableStyle name="Slicer Style 3" pivot="0" table="0" count="1" xr9:uid="{F070BFE2-021A-444E-969C-9DCE33C17B0C}">
      <tableStyleElement type="wholeTable" dxfId="44"/>
    </tableStyle>
    <tableStyle name="Slicer Style 4" pivot="0" table="0" count="1" xr9:uid="{FFD96091-7BEB-45A5-9E34-CB0FE5AEFDF1}">
      <tableStyleElement type="wholeTable" dxfId="43"/>
    </tableStyle>
    <tableStyle name="Slicer Style 5" pivot="0" table="0" count="1" xr9:uid="{D26A8A98-8EC6-48BE-B847-0DFC3B29B539}">
      <tableStyleElement type="wholeTable" dxfId="42"/>
    </tableStyle>
    <tableStyle name="swagat" pivot="0" table="0" count="10" xr9:uid="{76D74821-8E62-42CD-B310-7EC20712915B}">
      <tableStyleElement type="wholeTable" dxfId="41"/>
      <tableStyleElement type="headerRow" dxfId="40"/>
    </tableStyle>
  </tableStyles>
  <colors>
    <mruColors>
      <color rgb="FFFFFFFF"/>
      <color rgb="FFF4F7FA"/>
      <color rgb="FF4472C4"/>
      <color rgb="FFFF66FF"/>
    </mruColors>
  </colors>
  <extLst>
    <ext xmlns:x14="http://schemas.microsoft.com/office/spreadsheetml/2009/9/main" uri="{46F421CA-312F-682f-3DD2-61675219B42D}">
      <x14:dxfs count="24">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CHINU">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style">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 Style 1"/>
        <x14:slicerStyle name="Slicer Style 2"/>
        <x14:slicerStyle name="Slicer Style 3"/>
        <x14:slicerStyle name="Slicer Style 4"/>
        <x14:slicerStyle name="Slicer Style 5"/>
        <x14:slicerStyle name="swagat">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microsoft.com/office/2007/relationships/slicerCache" Target="slicerCaches/slicerCache2.xml"/><Relationship Id="rId26" Type="http://schemas.openxmlformats.org/officeDocument/2006/relationships/customXml" Target="../customXml/item2.xml"/><Relationship Id="rId39" Type="http://schemas.openxmlformats.org/officeDocument/2006/relationships/customXml" Target="../customXml/item15.xml"/><Relationship Id="rId21" Type="http://schemas.openxmlformats.org/officeDocument/2006/relationships/styles" Target="styles.xml"/><Relationship Id="rId34" Type="http://schemas.openxmlformats.org/officeDocument/2006/relationships/customXml" Target="../customXml/item10.xml"/><Relationship Id="rId42" Type="http://schemas.openxmlformats.org/officeDocument/2006/relationships/customXml" Target="../customXml/item1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14.xml"/><Relationship Id="rId20" Type="http://schemas.openxmlformats.org/officeDocument/2006/relationships/connections" Target="connections.xml"/><Relationship Id="rId29" Type="http://schemas.openxmlformats.org/officeDocument/2006/relationships/customXml" Target="../customXml/item5.xml"/><Relationship Id="rId41" Type="http://schemas.openxmlformats.org/officeDocument/2006/relationships/customXml" Target="../customXml/item17.xml"/><Relationship Id="rId1" Type="http://schemas.openxmlformats.org/officeDocument/2006/relationships/worksheet" Target="worksheets/sheet1.xml"/><Relationship Id="rId6" Type="http://schemas.openxmlformats.org/officeDocument/2006/relationships/pivotCacheDefinition" Target="pivotCache/pivotCacheDefinition4.xml"/><Relationship Id="rId11" Type="http://schemas.openxmlformats.org/officeDocument/2006/relationships/pivotCacheDefinition" Target="pivotCache/pivotCacheDefinition9.xml"/><Relationship Id="rId24" Type="http://schemas.openxmlformats.org/officeDocument/2006/relationships/calcChain" Target="calcChain.xml"/><Relationship Id="rId32" Type="http://schemas.openxmlformats.org/officeDocument/2006/relationships/customXml" Target="../customXml/item8.xml"/><Relationship Id="rId37" Type="http://schemas.openxmlformats.org/officeDocument/2006/relationships/customXml" Target="../customXml/item13.xml"/><Relationship Id="rId40" Type="http://schemas.openxmlformats.org/officeDocument/2006/relationships/customXml" Target="../customXml/item16.xml"/><Relationship Id="rId5" Type="http://schemas.openxmlformats.org/officeDocument/2006/relationships/pivotCacheDefinition" Target="pivotCache/pivotCacheDefinition3.xml"/><Relationship Id="rId15" Type="http://schemas.openxmlformats.org/officeDocument/2006/relationships/pivotCacheDefinition" Target="pivotCache/pivotCacheDefinition13.xml"/><Relationship Id="rId23" Type="http://schemas.openxmlformats.org/officeDocument/2006/relationships/powerPivotData" Target="model/item.data"/><Relationship Id="rId28" Type="http://schemas.openxmlformats.org/officeDocument/2006/relationships/customXml" Target="../customXml/item4.xml"/><Relationship Id="rId36" Type="http://schemas.openxmlformats.org/officeDocument/2006/relationships/customXml" Target="../customXml/item12.xml"/><Relationship Id="rId10" Type="http://schemas.openxmlformats.org/officeDocument/2006/relationships/pivotCacheDefinition" Target="pivotCache/pivotCacheDefinition8.xml"/><Relationship Id="rId19" Type="http://schemas.openxmlformats.org/officeDocument/2006/relationships/theme" Target="theme/theme1.xml"/><Relationship Id="rId31" Type="http://schemas.openxmlformats.org/officeDocument/2006/relationships/customXml" Target="../customXml/item7.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sharedStrings" Target="sharedStrings.xml"/><Relationship Id="rId27" Type="http://schemas.openxmlformats.org/officeDocument/2006/relationships/customXml" Target="../customXml/item3.xml"/><Relationship Id="rId30" Type="http://schemas.openxmlformats.org/officeDocument/2006/relationships/customXml" Target="../customXml/item6.xml"/><Relationship Id="rId35" Type="http://schemas.openxmlformats.org/officeDocument/2006/relationships/customXml" Target="../customXml/item11.xml"/><Relationship Id="rId8" Type="http://schemas.openxmlformats.org/officeDocument/2006/relationships/pivotCacheDefinition" Target="pivotCache/pivotCacheDefinition6.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1.xml"/><Relationship Id="rId25" Type="http://schemas.openxmlformats.org/officeDocument/2006/relationships/customXml" Target="../customXml/item1.xml"/><Relationship Id="rId33" Type="http://schemas.openxmlformats.org/officeDocument/2006/relationships/customXml" Target="../customXml/item9.xml"/><Relationship Id="rId38" Type="http://schemas.openxmlformats.org/officeDocument/2006/relationships/customXml" Target="../customXml/item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MANAGEMENT.xlsx]pivot table!PivotTable10</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s>
    <c:plotArea>
      <c:layout>
        <c:manualLayout>
          <c:layoutTarget val="inner"/>
          <c:xMode val="edge"/>
          <c:yMode val="edge"/>
          <c:x val="0"/>
          <c:y val="0.15878338737069631"/>
          <c:w val="0.97695780048770497"/>
          <c:h val="0.78239366963402568"/>
        </c:manualLayout>
      </c:layout>
      <c:barChart>
        <c:barDir val="bar"/>
        <c:grouping val="clustered"/>
        <c:varyColors val="0"/>
        <c:ser>
          <c:idx val="0"/>
          <c:order val="0"/>
          <c:tx>
            <c:strRef>
              <c:f>'pivot table'!$B$26</c:f>
              <c:strCache>
                <c:ptCount val="1"/>
                <c:pt idx="0">
                  <c:v>Count of Patient Admission Flag</c:v>
                </c:pt>
              </c:strCache>
            </c:strRef>
          </c:tx>
          <c:spPr>
            <a:solidFill>
              <a:schemeClr val="accent1"/>
            </a:solidFill>
            <a:ln>
              <a:noFill/>
            </a:ln>
            <a:effectLst/>
          </c:spPr>
          <c:invertIfNegative val="0"/>
          <c:cat>
            <c:strRef>
              <c:f>'pivot table'!$A$27:$A$29</c:f>
              <c:strCache>
                <c:ptCount val="2"/>
                <c:pt idx="0">
                  <c:v>Admitted</c:v>
                </c:pt>
                <c:pt idx="1">
                  <c:v>Notadmitted</c:v>
                </c:pt>
              </c:strCache>
            </c:strRef>
          </c:cat>
          <c:val>
            <c:numRef>
              <c:f>'pivot table'!$B$27:$B$29</c:f>
              <c:numCache>
                <c:formatCode>0</c:formatCode>
                <c:ptCount val="2"/>
                <c:pt idx="0">
                  <c:v>235</c:v>
                </c:pt>
                <c:pt idx="1">
                  <c:v>250</c:v>
                </c:pt>
              </c:numCache>
            </c:numRef>
          </c:val>
          <c:extLst>
            <c:ext xmlns:c16="http://schemas.microsoft.com/office/drawing/2014/chart" uri="{C3380CC4-5D6E-409C-BE32-E72D297353CC}">
              <c16:uniqueId val="{00000019-0712-49AB-8085-BC787C5DB830}"/>
            </c:ext>
          </c:extLst>
        </c:ser>
        <c:ser>
          <c:idx val="1"/>
          <c:order val="1"/>
          <c:tx>
            <c:strRef>
              <c:f>'pivot table'!$C$26</c:f>
              <c:strCache>
                <c:ptCount val="1"/>
                <c:pt idx="0">
                  <c:v>Count of Patient Admission Flag2</c:v>
                </c:pt>
              </c:strCache>
            </c:strRef>
          </c:tx>
          <c:spPr>
            <a:solidFill>
              <a:schemeClr val="accent2"/>
            </a:solidFill>
            <a:ln>
              <a:noFill/>
            </a:ln>
            <a:effectLst/>
          </c:spPr>
          <c:invertIfNegative val="0"/>
          <c:cat>
            <c:strRef>
              <c:f>'pivot table'!$A$27:$A$29</c:f>
              <c:strCache>
                <c:ptCount val="2"/>
                <c:pt idx="0">
                  <c:v>Admitted</c:v>
                </c:pt>
                <c:pt idx="1">
                  <c:v>Notadmitted</c:v>
                </c:pt>
              </c:strCache>
            </c:strRef>
          </c:cat>
          <c:val>
            <c:numRef>
              <c:f>'pivot table'!$C$27:$C$29</c:f>
              <c:numCache>
                <c:formatCode>0.00%</c:formatCode>
                <c:ptCount val="2"/>
                <c:pt idx="0">
                  <c:v>0.4845360824742268</c:v>
                </c:pt>
                <c:pt idx="1">
                  <c:v>0.51546391752577314</c:v>
                </c:pt>
              </c:numCache>
            </c:numRef>
          </c:val>
          <c:extLst>
            <c:ext xmlns:c16="http://schemas.microsoft.com/office/drawing/2014/chart" uri="{C3380CC4-5D6E-409C-BE32-E72D297353CC}">
              <c16:uniqueId val="{0000001A-0712-49AB-8085-BC787C5DB830}"/>
            </c:ext>
          </c:extLst>
        </c:ser>
        <c:dLbls>
          <c:showLegendKey val="0"/>
          <c:showVal val="0"/>
          <c:showCatName val="0"/>
          <c:showSerName val="0"/>
          <c:showPercent val="0"/>
          <c:showBubbleSize val="0"/>
        </c:dLbls>
        <c:gapWidth val="182"/>
        <c:axId val="935581808"/>
        <c:axId val="935573488"/>
      </c:barChart>
      <c:catAx>
        <c:axId val="935581808"/>
        <c:scaling>
          <c:orientation val="minMax"/>
        </c:scaling>
        <c:delete val="1"/>
        <c:axPos val="l"/>
        <c:numFmt formatCode="General" sourceLinked="1"/>
        <c:majorTickMark val="none"/>
        <c:minorTickMark val="none"/>
        <c:tickLblPos val="nextTo"/>
        <c:crossAx val="935573488"/>
        <c:crosses val="autoZero"/>
        <c:auto val="1"/>
        <c:lblAlgn val="ctr"/>
        <c:lblOffset val="100"/>
        <c:noMultiLvlLbl val="0"/>
      </c:catAx>
      <c:valAx>
        <c:axId val="935573488"/>
        <c:scaling>
          <c:orientation val="minMax"/>
        </c:scaling>
        <c:delete val="1"/>
        <c:axPos val="b"/>
        <c:numFmt formatCode="0" sourceLinked="1"/>
        <c:majorTickMark val="none"/>
        <c:minorTickMark val="none"/>
        <c:tickLblPos val="nextTo"/>
        <c:crossAx val="935581808"/>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MANAGEMENT.xlsx]pivot table!PivotTable10</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dLbl>
          <c:idx val="0"/>
          <c:tx>
            <c:rich>
              <a:bodyPr/>
              <a:lstStyle/>
              <a:p>
                <a:fld id="{F4B6036F-BD39-4C4D-BFB8-2AD6DAEBB526}"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Lst>
        </c:dLbl>
      </c:pivotFmt>
      <c:pivotFmt>
        <c:idx val="4"/>
        <c:spPr>
          <a:solidFill>
            <a:schemeClr val="accent1"/>
          </a:solidFill>
          <a:ln>
            <a:noFill/>
          </a:ln>
          <a:effectLst/>
        </c:spPr>
      </c:pivotFmt>
    </c:pivotFmts>
    <c:plotArea>
      <c:layout>
        <c:manualLayout>
          <c:layoutTarget val="inner"/>
          <c:xMode val="edge"/>
          <c:yMode val="edge"/>
          <c:x val="1.7421692207147212E-2"/>
          <c:y val="0"/>
          <c:w val="0.98257840517874073"/>
          <c:h val="0.66166139279319058"/>
        </c:manualLayout>
      </c:layout>
      <c:barChart>
        <c:barDir val="col"/>
        <c:grouping val="clustered"/>
        <c:varyColors val="0"/>
        <c:ser>
          <c:idx val="0"/>
          <c:order val="0"/>
          <c:tx>
            <c:strRef>
              <c:f>'pivot table'!$B$26</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25D2-4F9B-8E08-4069C1490284}"/>
              </c:ext>
            </c:extLst>
          </c:dPt>
          <c:dPt>
            <c:idx val="1"/>
            <c:invertIfNegative val="0"/>
            <c:bubble3D val="0"/>
            <c:extLst>
              <c:ext xmlns:c16="http://schemas.microsoft.com/office/drawing/2014/chart" uri="{C3380CC4-5D6E-409C-BE32-E72D297353CC}">
                <c16:uniqueId val="{00000001-25D2-4F9B-8E08-4069C1490284}"/>
              </c:ext>
            </c:extLst>
          </c:dPt>
          <c:cat>
            <c:strRef>
              <c:f>'pivot table'!$A$27:$A$29</c:f>
              <c:strCache>
                <c:ptCount val="2"/>
                <c:pt idx="0">
                  <c:v>Admitted</c:v>
                </c:pt>
                <c:pt idx="1">
                  <c:v>Notadmitted</c:v>
                </c:pt>
              </c:strCache>
            </c:strRef>
          </c:cat>
          <c:val>
            <c:numRef>
              <c:f>'pivot table'!$B$27:$B$29</c:f>
              <c:numCache>
                <c:formatCode>0</c:formatCode>
                <c:ptCount val="2"/>
                <c:pt idx="0">
                  <c:v>235</c:v>
                </c:pt>
                <c:pt idx="1">
                  <c:v>250</c:v>
                </c:pt>
              </c:numCache>
            </c:numRef>
          </c:val>
          <c:extLst>
            <c:ext xmlns:c16="http://schemas.microsoft.com/office/drawing/2014/chart" uri="{C3380CC4-5D6E-409C-BE32-E72D297353CC}">
              <c16:uniqueId val="{00000019-F187-4A35-802B-6238C9EFA6AC}"/>
            </c:ext>
          </c:extLst>
        </c:ser>
        <c:ser>
          <c:idx val="1"/>
          <c:order val="1"/>
          <c:tx>
            <c:strRef>
              <c:f>'pivot table'!$C$26</c:f>
              <c:strCache>
                <c:ptCount val="1"/>
                <c:pt idx="0">
                  <c:v>Count of Patient Admission Flag2</c:v>
                </c:pt>
              </c:strCache>
            </c:strRef>
          </c:tx>
          <c:spPr>
            <a:solidFill>
              <a:schemeClr val="accent2"/>
            </a:solidFill>
            <a:ln>
              <a:noFill/>
            </a:ln>
            <a:effectLst/>
          </c:spPr>
          <c:invertIfNegative val="0"/>
          <c:cat>
            <c:strRef>
              <c:f>'pivot table'!$A$27:$A$29</c:f>
              <c:strCache>
                <c:ptCount val="2"/>
                <c:pt idx="0">
                  <c:v>Admitted</c:v>
                </c:pt>
                <c:pt idx="1">
                  <c:v>Notadmitted</c:v>
                </c:pt>
              </c:strCache>
            </c:strRef>
          </c:cat>
          <c:val>
            <c:numRef>
              <c:f>'pivot table'!$C$27:$C$29</c:f>
              <c:numCache>
                <c:formatCode>0.00%</c:formatCode>
                <c:ptCount val="2"/>
                <c:pt idx="0">
                  <c:v>0.4845360824742268</c:v>
                </c:pt>
                <c:pt idx="1">
                  <c:v>0.51546391752577314</c:v>
                </c:pt>
              </c:numCache>
            </c:numRef>
          </c:val>
          <c:extLst>
            <c:ext xmlns:c16="http://schemas.microsoft.com/office/drawing/2014/chart" uri="{C3380CC4-5D6E-409C-BE32-E72D297353CC}">
              <c16:uniqueId val="{0000001A-F187-4A35-802B-6238C9EFA6AC}"/>
            </c:ext>
          </c:extLst>
        </c:ser>
        <c:dLbls>
          <c:showLegendKey val="0"/>
          <c:showVal val="0"/>
          <c:showCatName val="0"/>
          <c:showSerName val="0"/>
          <c:showPercent val="0"/>
          <c:showBubbleSize val="0"/>
        </c:dLbls>
        <c:gapWidth val="219"/>
        <c:overlap val="-27"/>
        <c:axId val="421722351"/>
        <c:axId val="421718607"/>
      </c:barChart>
      <c:catAx>
        <c:axId val="421722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718607"/>
        <c:crosses val="autoZero"/>
        <c:auto val="1"/>
        <c:lblAlgn val="ctr"/>
        <c:lblOffset val="100"/>
        <c:noMultiLvlLbl val="0"/>
      </c:catAx>
      <c:valAx>
        <c:axId val="421718607"/>
        <c:scaling>
          <c:orientation val="minMax"/>
        </c:scaling>
        <c:delete val="1"/>
        <c:axPos val="l"/>
        <c:numFmt formatCode="0" sourceLinked="1"/>
        <c:majorTickMark val="none"/>
        <c:minorTickMark val="none"/>
        <c:tickLblPos val="nextTo"/>
        <c:crossAx val="421722351"/>
        <c:crosses val="autoZero"/>
        <c:crossBetween val="between"/>
      </c:valAx>
      <c:spPr>
        <a:noFill/>
        <a:ln w="25400">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MANAGEMENT.xlsx]pivot table!PivotTable8</c:name>
    <c:fmtId val="2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0.13876939156482082"/>
          <c:w val="0.83180428134556572"/>
          <c:h val="0.71794871794871795"/>
        </c:manualLayout>
      </c:layout>
      <c:areaChart>
        <c:grouping val="stacked"/>
        <c:varyColors val="0"/>
        <c:ser>
          <c:idx val="0"/>
          <c:order val="0"/>
          <c:tx>
            <c:strRef>
              <c:f>'pivot table'!$K$11</c:f>
              <c:strCache>
                <c:ptCount val="1"/>
                <c:pt idx="0">
                  <c:v>Total</c:v>
                </c:pt>
              </c:strCache>
            </c:strRef>
          </c:tx>
          <c:spPr>
            <a:solidFill>
              <a:schemeClr val="accent1"/>
            </a:solidFill>
            <a:ln w="25400">
              <a:noFill/>
            </a:ln>
            <a:effectLst/>
          </c:spPr>
          <c:cat>
            <c:strRef>
              <c:f>'pivot table'!$J$12:$J$42</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table'!$K$12:$K$42</c:f>
              <c:numCache>
                <c:formatCode>0.0000</c:formatCode>
                <c:ptCount val="30"/>
                <c:pt idx="0">
                  <c:v>17</c:v>
                </c:pt>
                <c:pt idx="1">
                  <c:v>10</c:v>
                </c:pt>
                <c:pt idx="2">
                  <c:v>23</c:v>
                </c:pt>
                <c:pt idx="3">
                  <c:v>15</c:v>
                </c:pt>
                <c:pt idx="4">
                  <c:v>14</c:v>
                </c:pt>
                <c:pt idx="5">
                  <c:v>11</c:v>
                </c:pt>
                <c:pt idx="6">
                  <c:v>15</c:v>
                </c:pt>
                <c:pt idx="7">
                  <c:v>20</c:v>
                </c:pt>
                <c:pt idx="8">
                  <c:v>21</c:v>
                </c:pt>
                <c:pt idx="9">
                  <c:v>17</c:v>
                </c:pt>
                <c:pt idx="10">
                  <c:v>17</c:v>
                </c:pt>
                <c:pt idx="11">
                  <c:v>17</c:v>
                </c:pt>
                <c:pt idx="12">
                  <c:v>17</c:v>
                </c:pt>
                <c:pt idx="13">
                  <c:v>11</c:v>
                </c:pt>
                <c:pt idx="14">
                  <c:v>23</c:v>
                </c:pt>
                <c:pt idx="15">
                  <c:v>14</c:v>
                </c:pt>
                <c:pt idx="16">
                  <c:v>22</c:v>
                </c:pt>
                <c:pt idx="17">
                  <c:v>16</c:v>
                </c:pt>
                <c:pt idx="18">
                  <c:v>13</c:v>
                </c:pt>
                <c:pt idx="19">
                  <c:v>14</c:v>
                </c:pt>
                <c:pt idx="20">
                  <c:v>12</c:v>
                </c:pt>
                <c:pt idx="21">
                  <c:v>12</c:v>
                </c:pt>
                <c:pt idx="22">
                  <c:v>20</c:v>
                </c:pt>
                <c:pt idx="23">
                  <c:v>19</c:v>
                </c:pt>
                <c:pt idx="24">
                  <c:v>13</c:v>
                </c:pt>
                <c:pt idx="25">
                  <c:v>15</c:v>
                </c:pt>
                <c:pt idx="26">
                  <c:v>19</c:v>
                </c:pt>
                <c:pt idx="27">
                  <c:v>17</c:v>
                </c:pt>
                <c:pt idx="28">
                  <c:v>15</c:v>
                </c:pt>
                <c:pt idx="29">
                  <c:v>16</c:v>
                </c:pt>
              </c:numCache>
            </c:numRef>
          </c:val>
          <c:extLst>
            <c:ext xmlns:c16="http://schemas.microsoft.com/office/drawing/2014/chart" uri="{C3380CC4-5D6E-409C-BE32-E72D297353CC}">
              <c16:uniqueId val="{00000003-4F7E-4B0A-87F9-0C37B2DB8269}"/>
            </c:ext>
          </c:extLst>
        </c:ser>
        <c:dLbls>
          <c:showLegendKey val="0"/>
          <c:showVal val="0"/>
          <c:showCatName val="0"/>
          <c:showSerName val="0"/>
          <c:showPercent val="0"/>
          <c:showBubbleSize val="0"/>
        </c:dLbls>
        <c:axId val="944518111"/>
        <c:axId val="944516863"/>
      </c:areaChart>
      <c:catAx>
        <c:axId val="944518111"/>
        <c:scaling>
          <c:orientation val="minMax"/>
        </c:scaling>
        <c:delete val="1"/>
        <c:axPos val="b"/>
        <c:numFmt formatCode="General" sourceLinked="1"/>
        <c:majorTickMark val="out"/>
        <c:minorTickMark val="none"/>
        <c:tickLblPos val="nextTo"/>
        <c:crossAx val="944516863"/>
        <c:crosses val="autoZero"/>
        <c:auto val="1"/>
        <c:lblAlgn val="ctr"/>
        <c:lblOffset val="100"/>
        <c:noMultiLvlLbl val="0"/>
      </c:catAx>
      <c:valAx>
        <c:axId val="944516863"/>
        <c:scaling>
          <c:orientation val="minMax"/>
        </c:scaling>
        <c:delete val="1"/>
        <c:axPos val="l"/>
        <c:numFmt formatCode="0.0000" sourceLinked="1"/>
        <c:majorTickMark val="none"/>
        <c:minorTickMark val="none"/>
        <c:tickLblPos val="nextTo"/>
        <c:crossAx val="944518111"/>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[PATIENT MANAGEMENT.xlsx]pivot table!PivotTable4</c:name>
    <c:fmtId val="27"/>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table'!$F$1</c:f>
              <c:strCache>
                <c:ptCount val="1"/>
                <c:pt idx="0">
                  <c:v>Total</c:v>
                </c:pt>
              </c:strCache>
            </c:strRef>
          </c:tx>
          <c:spPr>
            <a:solidFill>
              <a:schemeClr val="accent6"/>
            </a:solidFill>
            <a:ln w="25400">
              <a:noFill/>
            </a:ln>
            <a:effectLst/>
          </c:spPr>
          <c:cat>
            <c:strRef>
              <c:f>'pivot table'!$E$2:$E$32</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table'!$F$2:$F$32</c:f>
              <c:numCache>
                <c:formatCode>0.0000</c:formatCode>
                <c:ptCount val="30"/>
                <c:pt idx="0">
                  <c:v>33.352941176470587</c:v>
                </c:pt>
                <c:pt idx="1">
                  <c:v>38.4</c:v>
                </c:pt>
                <c:pt idx="2">
                  <c:v>38.521739130434781</c:v>
                </c:pt>
                <c:pt idx="3">
                  <c:v>30.4</c:v>
                </c:pt>
                <c:pt idx="4">
                  <c:v>33.142857142857146</c:v>
                </c:pt>
                <c:pt idx="5">
                  <c:v>38.18181818181818</c:v>
                </c:pt>
                <c:pt idx="6">
                  <c:v>39.733333333333334</c:v>
                </c:pt>
                <c:pt idx="7">
                  <c:v>37</c:v>
                </c:pt>
                <c:pt idx="8">
                  <c:v>35.61904761904762</c:v>
                </c:pt>
                <c:pt idx="9">
                  <c:v>34.176470588235297</c:v>
                </c:pt>
                <c:pt idx="10">
                  <c:v>37.176470588235297</c:v>
                </c:pt>
                <c:pt idx="11">
                  <c:v>36.647058823529413</c:v>
                </c:pt>
                <c:pt idx="12">
                  <c:v>34.941176470588232</c:v>
                </c:pt>
                <c:pt idx="13">
                  <c:v>44</c:v>
                </c:pt>
                <c:pt idx="14">
                  <c:v>38.913043478260867</c:v>
                </c:pt>
                <c:pt idx="15">
                  <c:v>31</c:v>
                </c:pt>
                <c:pt idx="16">
                  <c:v>34.227272727272727</c:v>
                </c:pt>
                <c:pt idx="17">
                  <c:v>31</c:v>
                </c:pt>
                <c:pt idx="18">
                  <c:v>32.153846153846153</c:v>
                </c:pt>
                <c:pt idx="19">
                  <c:v>32.785714285714285</c:v>
                </c:pt>
                <c:pt idx="20">
                  <c:v>30</c:v>
                </c:pt>
                <c:pt idx="21">
                  <c:v>33.5</c:v>
                </c:pt>
                <c:pt idx="22">
                  <c:v>32.950000000000003</c:v>
                </c:pt>
                <c:pt idx="23">
                  <c:v>35.842105263157897</c:v>
                </c:pt>
                <c:pt idx="24">
                  <c:v>33.846153846153847</c:v>
                </c:pt>
                <c:pt idx="25">
                  <c:v>39.06666666666667</c:v>
                </c:pt>
                <c:pt idx="26">
                  <c:v>36.684210526315788</c:v>
                </c:pt>
                <c:pt idx="27">
                  <c:v>33.764705882352942</c:v>
                </c:pt>
                <c:pt idx="28">
                  <c:v>34.533333333333331</c:v>
                </c:pt>
                <c:pt idx="29">
                  <c:v>42.125</c:v>
                </c:pt>
              </c:numCache>
            </c:numRef>
          </c:val>
          <c:extLst>
            <c:ext xmlns:c16="http://schemas.microsoft.com/office/drawing/2014/chart" uri="{C3380CC4-5D6E-409C-BE32-E72D297353CC}">
              <c16:uniqueId val="{00000003-2BA0-4319-9898-4E2348BC1879}"/>
            </c:ext>
          </c:extLst>
        </c:ser>
        <c:dLbls>
          <c:showLegendKey val="0"/>
          <c:showVal val="0"/>
          <c:showCatName val="0"/>
          <c:showSerName val="0"/>
          <c:showPercent val="0"/>
          <c:showBubbleSize val="0"/>
        </c:dLbls>
        <c:axId val="2005889728"/>
        <c:axId val="2005884320"/>
      </c:areaChart>
      <c:catAx>
        <c:axId val="2005889728"/>
        <c:scaling>
          <c:orientation val="minMax"/>
        </c:scaling>
        <c:delete val="1"/>
        <c:axPos val="b"/>
        <c:numFmt formatCode="General" sourceLinked="1"/>
        <c:majorTickMark val="out"/>
        <c:minorTickMark val="none"/>
        <c:tickLblPos val="nextTo"/>
        <c:crossAx val="2005884320"/>
        <c:crosses val="autoZero"/>
        <c:auto val="1"/>
        <c:lblAlgn val="ctr"/>
        <c:lblOffset val="100"/>
        <c:noMultiLvlLbl val="0"/>
      </c:catAx>
      <c:valAx>
        <c:axId val="2005884320"/>
        <c:scaling>
          <c:orientation val="minMax"/>
        </c:scaling>
        <c:delete val="1"/>
        <c:axPos val="l"/>
        <c:numFmt formatCode="0.0000" sourceLinked="1"/>
        <c:majorTickMark val="none"/>
        <c:minorTickMark val="none"/>
        <c:tickLblPos val="nextTo"/>
        <c:crossAx val="2005889728"/>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MANAGEMENT.xlsx]pivot table!PivotTable9</c:name>
    <c:fmtId val="28"/>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458333333333333"/>
          <c:y val="0"/>
          <c:w val="0.88541666666666663"/>
          <c:h val="0.6883334764872483"/>
        </c:manualLayout>
      </c:layout>
      <c:areaChart>
        <c:grouping val="stacked"/>
        <c:varyColors val="0"/>
        <c:ser>
          <c:idx val="0"/>
          <c:order val="0"/>
          <c:tx>
            <c:strRef>
              <c:f>'pivot table'!$N$11</c:f>
              <c:strCache>
                <c:ptCount val="1"/>
                <c:pt idx="0">
                  <c:v>Total</c:v>
                </c:pt>
              </c:strCache>
            </c:strRef>
          </c:tx>
          <c:spPr>
            <a:solidFill>
              <a:schemeClr val="accent2"/>
            </a:solidFill>
            <a:ln w="25400">
              <a:noFill/>
            </a:ln>
            <a:effectLst/>
          </c:spPr>
          <c:cat>
            <c:strRef>
              <c:f>'pivot table'!$M$12:$M$42</c:f>
              <c:strCache>
                <c:ptCount val="30"/>
                <c:pt idx="0">
                  <c:v>1-Jun</c:v>
                </c:pt>
                <c:pt idx="1">
                  <c:v>2-Jun</c:v>
                </c:pt>
                <c:pt idx="2">
                  <c:v>3-Jun</c:v>
                </c:pt>
                <c:pt idx="3">
                  <c:v>4-Jun</c:v>
                </c:pt>
                <c:pt idx="4">
                  <c:v>5-Jun</c:v>
                </c:pt>
                <c:pt idx="5">
                  <c:v>6-Jun</c:v>
                </c:pt>
                <c:pt idx="6">
                  <c:v>7-Jun</c:v>
                </c:pt>
                <c:pt idx="7">
                  <c:v>8-Jun</c:v>
                </c:pt>
                <c:pt idx="8">
                  <c:v>9-Jun</c:v>
                </c:pt>
                <c:pt idx="9">
                  <c:v>10-Jun</c:v>
                </c:pt>
                <c:pt idx="10">
                  <c:v>11-Jun</c:v>
                </c:pt>
                <c:pt idx="11">
                  <c:v>12-Jun</c:v>
                </c:pt>
                <c:pt idx="12">
                  <c:v>13-Jun</c:v>
                </c:pt>
                <c:pt idx="13">
                  <c:v>14-Jun</c:v>
                </c:pt>
                <c:pt idx="14">
                  <c:v>15-Jun</c:v>
                </c:pt>
                <c:pt idx="15">
                  <c:v>16-Jun</c:v>
                </c:pt>
                <c:pt idx="16">
                  <c:v>17-Jun</c:v>
                </c:pt>
                <c:pt idx="17">
                  <c:v>18-Jun</c:v>
                </c:pt>
                <c:pt idx="18">
                  <c:v>19-Jun</c:v>
                </c:pt>
                <c:pt idx="19">
                  <c:v>20-Jun</c:v>
                </c:pt>
                <c:pt idx="20">
                  <c:v>21-Jun</c:v>
                </c:pt>
                <c:pt idx="21">
                  <c:v>22-Jun</c:v>
                </c:pt>
                <c:pt idx="22">
                  <c:v>23-Jun</c:v>
                </c:pt>
                <c:pt idx="23">
                  <c:v>24-Jun</c:v>
                </c:pt>
                <c:pt idx="24">
                  <c:v>25-Jun</c:v>
                </c:pt>
                <c:pt idx="25">
                  <c:v>26-Jun</c:v>
                </c:pt>
                <c:pt idx="26">
                  <c:v>27-Jun</c:v>
                </c:pt>
                <c:pt idx="27">
                  <c:v>28-Jun</c:v>
                </c:pt>
                <c:pt idx="28">
                  <c:v>29-Jun</c:v>
                </c:pt>
                <c:pt idx="29">
                  <c:v>30-Jun</c:v>
                </c:pt>
              </c:strCache>
            </c:strRef>
          </c:cat>
          <c:val>
            <c:numRef>
              <c:f>'pivot table'!$N$12:$N$42</c:f>
              <c:numCache>
                <c:formatCode>0.0000</c:formatCode>
                <c:ptCount val="30"/>
                <c:pt idx="0">
                  <c:v>4.75</c:v>
                </c:pt>
                <c:pt idx="1">
                  <c:v>5.2</c:v>
                </c:pt>
                <c:pt idx="2">
                  <c:v>3.375</c:v>
                </c:pt>
                <c:pt idx="3">
                  <c:v>5.8</c:v>
                </c:pt>
                <c:pt idx="4">
                  <c:v>4.375</c:v>
                </c:pt>
                <c:pt idx="5">
                  <c:v>3</c:v>
                </c:pt>
                <c:pt idx="6">
                  <c:v>5</c:v>
                </c:pt>
                <c:pt idx="7">
                  <c:v>3</c:v>
                </c:pt>
                <c:pt idx="8">
                  <c:v>4.9090909090909092</c:v>
                </c:pt>
                <c:pt idx="9">
                  <c:v>3.8333333333333335</c:v>
                </c:pt>
                <c:pt idx="10">
                  <c:v>3.875</c:v>
                </c:pt>
                <c:pt idx="11">
                  <c:v>4.333333333333333</c:v>
                </c:pt>
                <c:pt idx="12">
                  <c:v>3.5</c:v>
                </c:pt>
                <c:pt idx="13">
                  <c:v>5.4</c:v>
                </c:pt>
                <c:pt idx="14">
                  <c:v>5.375</c:v>
                </c:pt>
                <c:pt idx="15">
                  <c:v>3.3333333333333335</c:v>
                </c:pt>
                <c:pt idx="16">
                  <c:v>6.2</c:v>
                </c:pt>
                <c:pt idx="17">
                  <c:v>1.6666666666666667</c:v>
                </c:pt>
                <c:pt idx="18">
                  <c:v>4.5</c:v>
                </c:pt>
                <c:pt idx="19">
                  <c:v>7.666666666666667</c:v>
                </c:pt>
                <c:pt idx="20">
                  <c:v>4.4000000000000004</c:v>
                </c:pt>
                <c:pt idx="21">
                  <c:v>6.5</c:v>
                </c:pt>
                <c:pt idx="22">
                  <c:v>5</c:v>
                </c:pt>
                <c:pt idx="23">
                  <c:v>5.25</c:v>
                </c:pt>
                <c:pt idx="24">
                  <c:v>4.75</c:v>
                </c:pt>
                <c:pt idx="25">
                  <c:v>5</c:v>
                </c:pt>
                <c:pt idx="26">
                  <c:v>4</c:v>
                </c:pt>
                <c:pt idx="27">
                  <c:v>5.333333333333333</c:v>
                </c:pt>
                <c:pt idx="28">
                  <c:v>6</c:v>
                </c:pt>
                <c:pt idx="29">
                  <c:v>6.333333333333333</c:v>
                </c:pt>
              </c:numCache>
            </c:numRef>
          </c:val>
          <c:extLst>
            <c:ext xmlns:c16="http://schemas.microsoft.com/office/drawing/2014/chart" uri="{C3380CC4-5D6E-409C-BE32-E72D297353CC}">
              <c16:uniqueId val="{00000003-95C0-447C-B24F-A13DD6DADA93}"/>
            </c:ext>
          </c:extLst>
        </c:ser>
        <c:dLbls>
          <c:showLegendKey val="0"/>
          <c:showVal val="0"/>
          <c:showCatName val="0"/>
          <c:showSerName val="0"/>
          <c:showPercent val="0"/>
          <c:showBubbleSize val="0"/>
        </c:dLbls>
        <c:axId val="2005885152"/>
        <c:axId val="2005885568"/>
      </c:areaChart>
      <c:catAx>
        <c:axId val="2005885152"/>
        <c:scaling>
          <c:orientation val="minMax"/>
        </c:scaling>
        <c:delete val="1"/>
        <c:axPos val="b"/>
        <c:numFmt formatCode="General" sourceLinked="1"/>
        <c:majorTickMark val="out"/>
        <c:minorTickMark val="none"/>
        <c:tickLblPos val="nextTo"/>
        <c:crossAx val="2005885568"/>
        <c:crosses val="autoZero"/>
        <c:auto val="1"/>
        <c:lblAlgn val="ctr"/>
        <c:lblOffset val="100"/>
        <c:noMultiLvlLbl val="0"/>
      </c:catAx>
      <c:valAx>
        <c:axId val="2005885568"/>
        <c:scaling>
          <c:orientation val="minMax"/>
        </c:scaling>
        <c:delete val="1"/>
        <c:axPos val="l"/>
        <c:numFmt formatCode="0.0000" sourceLinked="1"/>
        <c:majorTickMark val="none"/>
        <c:minorTickMark val="none"/>
        <c:tickLblPos val="nextTo"/>
        <c:crossAx val="2005885152"/>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[PATIENT MANAGEMENT.xlsx]pivot table!PivotTable6</c:name>
    <c:fmtId val="12"/>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5400870402885856"/>
          <c:y val="6.2200963968010094E-2"/>
          <c:w val="0.70000478243343878"/>
          <c:h val="0.7872834781995417"/>
        </c:manualLayout>
      </c:layout>
      <c:barChart>
        <c:barDir val="bar"/>
        <c:grouping val="clustered"/>
        <c:varyColors val="0"/>
        <c:ser>
          <c:idx val="0"/>
          <c:order val="0"/>
          <c:tx>
            <c:strRef>
              <c:f>'pivot table'!$B$41</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table'!$A$42:$A$50</c:f>
              <c:strCache>
                <c:ptCount val="8"/>
                <c:pt idx="0">
                  <c:v>Cardiology</c:v>
                </c:pt>
                <c:pt idx="1">
                  <c:v>Gastroenterology</c:v>
                </c:pt>
                <c:pt idx="2">
                  <c:v>General Practice</c:v>
                </c:pt>
                <c:pt idx="3">
                  <c:v>Neurology</c:v>
                </c:pt>
                <c:pt idx="4">
                  <c:v>None</c:v>
                </c:pt>
                <c:pt idx="5">
                  <c:v>Orthopedics</c:v>
                </c:pt>
                <c:pt idx="6">
                  <c:v>Physiotherapy</c:v>
                </c:pt>
                <c:pt idx="7">
                  <c:v>Renal</c:v>
                </c:pt>
              </c:strCache>
            </c:strRef>
          </c:cat>
          <c:val>
            <c:numRef>
              <c:f>'pivot table'!$B$42:$B$50</c:f>
              <c:numCache>
                <c:formatCode>General</c:formatCode>
                <c:ptCount val="8"/>
                <c:pt idx="0">
                  <c:v>13</c:v>
                </c:pt>
                <c:pt idx="1">
                  <c:v>12</c:v>
                </c:pt>
                <c:pt idx="2">
                  <c:v>91</c:v>
                </c:pt>
                <c:pt idx="3">
                  <c:v>12</c:v>
                </c:pt>
                <c:pt idx="4">
                  <c:v>291</c:v>
                </c:pt>
                <c:pt idx="5">
                  <c:v>53</c:v>
                </c:pt>
                <c:pt idx="6">
                  <c:v>11</c:v>
                </c:pt>
                <c:pt idx="7">
                  <c:v>2</c:v>
                </c:pt>
              </c:numCache>
            </c:numRef>
          </c:val>
          <c:extLst>
            <c:ext xmlns:c16="http://schemas.microsoft.com/office/drawing/2014/chart" uri="{C3380CC4-5D6E-409C-BE32-E72D297353CC}">
              <c16:uniqueId val="{00000003-5231-4B5B-A34C-5BF34FCE8D69}"/>
            </c:ext>
          </c:extLst>
        </c:ser>
        <c:dLbls>
          <c:showLegendKey val="0"/>
          <c:showVal val="0"/>
          <c:showCatName val="0"/>
          <c:showSerName val="0"/>
          <c:showPercent val="0"/>
          <c:showBubbleSize val="0"/>
        </c:dLbls>
        <c:gapWidth val="115"/>
        <c:overlap val="-20"/>
        <c:axId val="1997880704"/>
        <c:axId val="1997882368"/>
      </c:barChart>
      <c:catAx>
        <c:axId val="1997880704"/>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7882368"/>
        <c:crosses val="autoZero"/>
        <c:auto val="1"/>
        <c:lblAlgn val="ctr"/>
        <c:lblOffset val="100"/>
        <c:noMultiLvlLbl val="0"/>
      </c:catAx>
      <c:valAx>
        <c:axId val="1997882368"/>
        <c:scaling>
          <c:orientation val="minMax"/>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978807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MANAGEMENT.xlsx]pivot table!PivotTable13</c:name>
    <c:fmtId val="2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5211071840167664"/>
          <c:y val="8.0065349175885286E-2"/>
          <c:w val="0.48265304714522345"/>
          <c:h val="0.89787660209502818"/>
        </c:manualLayout>
      </c:layout>
      <c:doughnutChart>
        <c:varyColors val="1"/>
        <c:ser>
          <c:idx val="0"/>
          <c:order val="0"/>
          <c:tx>
            <c:strRef>
              <c:f>'pivot table'!$B$77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707-47D6-8A63-21997ACAD7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707-47D6-8A63-21997ACAD70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table'!$A$78:$A$80</c:f>
              <c:strCache>
                <c:ptCount val="2"/>
                <c:pt idx="0">
                  <c:v>Delay</c:v>
                </c:pt>
                <c:pt idx="1">
                  <c:v>Ontime</c:v>
                </c:pt>
              </c:strCache>
            </c:strRef>
          </c:cat>
          <c:val>
            <c:numRef>
              <c:f>'pivot table'!$B$78:$B$80</c:f>
              <c:numCache>
                <c:formatCode>General</c:formatCode>
                <c:ptCount val="2"/>
                <c:pt idx="0">
                  <c:v>297</c:v>
                </c:pt>
                <c:pt idx="1">
                  <c:v>188</c:v>
                </c:pt>
              </c:numCache>
            </c:numRef>
          </c:val>
          <c:extLst>
            <c:ext xmlns:c16="http://schemas.microsoft.com/office/drawing/2014/chart" uri="{C3380CC4-5D6E-409C-BE32-E72D297353CC}">
              <c16:uniqueId val="{00000007-630D-4FC9-B8A2-0AD72E785BD3}"/>
            </c:ext>
          </c:extLst>
        </c:ser>
        <c:dLbls>
          <c:showLegendKey val="0"/>
          <c:showVal val="0"/>
          <c:showCatName val="0"/>
          <c:showSerName val="0"/>
          <c:showPercent val="0"/>
          <c:showBubbleSize val="0"/>
          <c:showLeaderLines val="1"/>
        </c:dLbls>
        <c:firstSliceAng val="0"/>
        <c:holeSize val="40"/>
      </c:doughnutChart>
      <c:spPr>
        <a:noFill/>
        <a:ln>
          <a:noFill/>
        </a:ln>
        <a:effectLst/>
      </c:spPr>
    </c:plotArea>
    <c:legend>
      <c:legendPos val="r"/>
      <c:layout>
        <c:manualLayout>
          <c:xMode val="edge"/>
          <c:yMode val="edge"/>
          <c:x val="0.70003768559945656"/>
          <c:y val="0.11039582290443725"/>
          <c:w val="0.27522786959931789"/>
          <c:h val="0.70659886264216976"/>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MANAGEMENT.xlsx]pivot table!PivotTable7</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manualLayout>
          <c:layoutTarget val="inner"/>
          <c:xMode val="edge"/>
          <c:yMode val="edge"/>
          <c:x val="0.10896303587051619"/>
          <c:y val="0.14583333333333334"/>
          <c:w val="0.46388888888888891"/>
          <c:h val="0.77314814814814814"/>
        </c:manualLayout>
      </c:layout>
      <c:doughnutChart>
        <c:varyColors val="1"/>
        <c:ser>
          <c:idx val="0"/>
          <c:order val="0"/>
          <c:tx>
            <c:strRef>
              <c:f>'pivot table'!$B$54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12C4-4233-8E39-AE2C60D9492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12C4-4233-8E39-AE2C60D9492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table'!$A$55:$A$57</c:f>
              <c:strCache>
                <c:ptCount val="2"/>
                <c:pt idx="0">
                  <c:v>Female</c:v>
                </c:pt>
                <c:pt idx="1">
                  <c:v>Male</c:v>
                </c:pt>
              </c:strCache>
            </c:strRef>
          </c:cat>
          <c:val>
            <c:numRef>
              <c:f>'pivot table'!$B$55:$B$57</c:f>
              <c:numCache>
                <c:formatCode>General</c:formatCode>
                <c:ptCount val="2"/>
                <c:pt idx="0">
                  <c:v>239</c:v>
                </c:pt>
                <c:pt idx="1">
                  <c:v>246</c:v>
                </c:pt>
              </c:numCache>
            </c:numRef>
          </c:val>
          <c:extLst>
            <c:ext xmlns:c16="http://schemas.microsoft.com/office/drawing/2014/chart" uri="{C3380CC4-5D6E-409C-BE32-E72D297353CC}">
              <c16:uniqueId val="{00000007-8063-44C1-854D-BB18B9BA7A2C}"/>
            </c:ext>
          </c:extLst>
        </c:ser>
        <c:dLbls>
          <c:showLegendKey val="0"/>
          <c:showVal val="0"/>
          <c:showCatName val="0"/>
          <c:showSerName val="0"/>
          <c:showPercent val="0"/>
          <c:showBubbleSize val="0"/>
          <c:showLeaderLines val="1"/>
        </c:dLbls>
        <c:firstSliceAng val="0"/>
        <c:holeSize val="38"/>
      </c:doughnutChart>
      <c:spPr>
        <a:noFill/>
        <a:ln>
          <a:noFill/>
        </a:ln>
        <a:effectLst/>
      </c:spPr>
    </c:plotArea>
    <c:legend>
      <c:legendPos val="r"/>
      <c:layout>
        <c:manualLayout>
          <c:xMode val="edge"/>
          <c:yMode val="edge"/>
          <c:x val="0.57348162729658791"/>
          <c:y val="0.4635411198600175"/>
          <c:w val="0.18926354793886055"/>
          <c:h val="0.26736220472440947"/>
        </c:manualLayout>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[PATIENT MANAGEMENT.xlsx]pivot table!PivotTable12</c:name>
    <c:fmtId val="24"/>
  </c:pivotSource>
  <c:chart>
    <c:autoTitleDeleted val="1"/>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387884914706022E-2"/>
          <c:y val="8.6718977836103828E-2"/>
          <c:w val="0.93865745832050318"/>
          <c:h val="0.60418671624380282"/>
        </c:manualLayout>
      </c:layout>
      <c:barChart>
        <c:barDir val="col"/>
        <c:grouping val="clustered"/>
        <c:varyColors val="0"/>
        <c:ser>
          <c:idx val="0"/>
          <c:order val="0"/>
          <c:tx>
            <c:strRef>
              <c:f>'pivot table'!$B$66</c:f>
              <c:strCache>
                <c:ptCount val="1"/>
                <c:pt idx="0">
                  <c:v>Total</c:v>
                </c:pt>
              </c:strCache>
            </c:strRef>
          </c:tx>
          <c:spPr>
            <a:solidFill>
              <a:schemeClr val="accent6"/>
            </a:solidFill>
            <a:ln>
              <a:noFill/>
            </a:ln>
            <a:effectLst/>
          </c:spPr>
          <c:invertIfNegative val="0"/>
          <c:cat>
            <c:strRef>
              <c:f>'pivot table'!$A$67:$A$75</c:f>
              <c:strCache>
                <c:ptCount val="8"/>
                <c:pt idx="0">
                  <c:v>0-9</c:v>
                </c:pt>
                <c:pt idx="1">
                  <c:v>10-19</c:v>
                </c:pt>
                <c:pt idx="2">
                  <c:v>20-29</c:v>
                </c:pt>
                <c:pt idx="3">
                  <c:v>30-39</c:v>
                </c:pt>
                <c:pt idx="4">
                  <c:v>40-49</c:v>
                </c:pt>
                <c:pt idx="5">
                  <c:v>50-59</c:v>
                </c:pt>
                <c:pt idx="6">
                  <c:v>60-69</c:v>
                </c:pt>
                <c:pt idx="7">
                  <c:v>70-79</c:v>
                </c:pt>
              </c:strCache>
            </c:strRef>
          </c:cat>
          <c:val>
            <c:numRef>
              <c:f>'pivot table'!$B$67:$B$75</c:f>
              <c:numCache>
                <c:formatCode>General</c:formatCode>
                <c:ptCount val="8"/>
                <c:pt idx="0">
                  <c:v>52</c:v>
                </c:pt>
                <c:pt idx="1">
                  <c:v>58</c:v>
                </c:pt>
                <c:pt idx="2">
                  <c:v>70</c:v>
                </c:pt>
                <c:pt idx="3">
                  <c:v>59</c:v>
                </c:pt>
                <c:pt idx="4">
                  <c:v>59</c:v>
                </c:pt>
                <c:pt idx="5">
                  <c:v>56</c:v>
                </c:pt>
                <c:pt idx="6">
                  <c:v>59</c:v>
                </c:pt>
                <c:pt idx="7">
                  <c:v>72</c:v>
                </c:pt>
              </c:numCache>
            </c:numRef>
          </c:val>
          <c:extLst>
            <c:ext xmlns:c16="http://schemas.microsoft.com/office/drawing/2014/chart" uri="{C3380CC4-5D6E-409C-BE32-E72D297353CC}">
              <c16:uniqueId val="{00000003-5A51-46E0-ACAB-1101F2D2F047}"/>
            </c:ext>
          </c:extLst>
        </c:ser>
        <c:dLbls>
          <c:showLegendKey val="0"/>
          <c:showVal val="0"/>
          <c:showCatName val="0"/>
          <c:showSerName val="0"/>
          <c:showPercent val="0"/>
          <c:showBubbleSize val="0"/>
        </c:dLbls>
        <c:gapWidth val="219"/>
        <c:overlap val="-27"/>
        <c:axId val="679165392"/>
        <c:axId val="679151248"/>
      </c:barChart>
      <c:catAx>
        <c:axId val="6791653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151248"/>
        <c:crosses val="autoZero"/>
        <c:auto val="1"/>
        <c:lblAlgn val="ctr"/>
        <c:lblOffset val="100"/>
        <c:noMultiLvlLbl val="0"/>
      </c:catAx>
      <c:valAx>
        <c:axId val="67915124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91653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6">
  <a:schemeClr val="accent6"/>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Reversed" id="26">
  <a:schemeClr val="accent6"/>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8" Type="http://schemas.openxmlformats.org/officeDocument/2006/relationships/chart" Target="../charts/chart9.xml"/><Relationship Id="rId3" Type="http://schemas.openxmlformats.org/officeDocument/2006/relationships/chart" Target="../charts/chart5.xml"/><Relationship Id="rId7" Type="http://schemas.openxmlformats.org/officeDocument/2006/relationships/chart" Target="../charts/chart8.xml"/><Relationship Id="rId12" Type="http://schemas.openxmlformats.org/officeDocument/2006/relationships/image" Target="../media/image5.jpeg"/><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7.xml"/><Relationship Id="rId11" Type="http://schemas.openxmlformats.org/officeDocument/2006/relationships/image" Target="../media/image4.png"/><Relationship Id="rId5" Type="http://schemas.openxmlformats.org/officeDocument/2006/relationships/chart" Target="../charts/chart6.xml"/><Relationship Id="rId10" Type="http://schemas.openxmlformats.org/officeDocument/2006/relationships/image" Target="../media/image3.png"/><Relationship Id="rId4" Type="http://schemas.openxmlformats.org/officeDocument/2006/relationships/image" Target="../media/image1.emf"/><Relationship Id="rId9" Type="http://schemas.openxmlformats.org/officeDocument/2006/relationships/image" Target="../media/image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6.emf"/></Relationships>
</file>

<file path=xl/drawings/drawing1.xml><?xml version="1.0" encoding="utf-8"?>
<xdr:wsDr xmlns:xdr="http://schemas.openxmlformats.org/drawingml/2006/spreadsheetDrawing" xmlns:a="http://schemas.openxmlformats.org/drawingml/2006/main">
  <xdr:twoCellAnchor>
    <xdr:from>
      <xdr:col>4</xdr:col>
      <xdr:colOff>1127759</xdr:colOff>
      <xdr:row>39</xdr:row>
      <xdr:rowOff>0</xdr:rowOff>
    </xdr:from>
    <xdr:to>
      <xdr:col>4</xdr:col>
      <xdr:colOff>1173478</xdr:colOff>
      <xdr:row>40</xdr:row>
      <xdr:rowOff>0</xdr:rowOff>
    </xdr:to>
    <xdr:graphicFrame macro="">
      <xdr:nvGraphicFramePr>
        <xdr:cNvPr id="9" name="Chart 8">
          <a:extLst>
            <a:ext uri="{FF2B5EF4-FFF2-40B4-BE49-F238E27FC236}">
              <a16:creationId xmlns:a16="http://schemas.microsoft.com/office/drawing/2014/main" id="{5536E294-9FC8-4405-8EBF-8573449612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723898</xdr:colOff>
      <xdr:row>33</xdr:row>
      <xdr:rowOff>22860</xdr:rowOff>
    </xdr:from>
    <xdr:to>
      <xdr:col>4</xdr:col>
      <xdr:colOff>571499</xdr:colOff>
      <xdr:row>37</xdr:row>
      <xdr:rowOff>106680</xdr:rowOff>
    </xdr:to>
    <xdr:graphicFrame macro="">
      <xdr:nvGraphicFramePr>
        <xdr:cNvPr id="11" name="Chart 10">
          <a:extLst>
            <a:ext uri="{FF2B5EF4-FFF2-40B4-BE49-F238E27FC236}">
              <a16:creationId xmlns:a16="http://schemas.microsoft.com/office/drawing/2014/main" id="{D8157771-522B-49FE-A4FA-A12D896A6D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3</xdr:row>
      <xdr:rowOff>152400</xdr:rowOff>
    </xdr:from>
    <xdr:to>
      <xdr:col>30</xdr:col>
      <xdr:colOff>144780</xdr:colOff>
      <xdr:row>3</xdr:row>
      <xdr:rowOff>175260</xdr:rowOff>
    </xdr:to>
    <xdr:cxnSp macro="">
      <xdr:nvCxnSpPr>
        <xdr:cNvPr id="3" name="Straight Connector 2">
          <a:extLst>
            <a:ext uri="{FF2B5EF4-FFF2-40B4-BE49-F238E27FC236}">
              <a16:creationId xmlns:a16="http://schemas.microsoft.com/office/drawing/2014/main" id="{676E3A52-2CF2-4AFB-9F56-C03EBAD6F62F}"/>
            </a:ext>
          </a:extLst>
        </xdr:cNvPr>
        <xdr:cNvCxnSpPr/>
      </xdr:nvCxnSpPr>
      <xdr:spPr>
        <a:xfrm flipV="1">
          <a:off x="0" y="708660"/>
          <a:ext cx="18280380" cy="22860"/>
        </a:xfrm>
        <a:prstGeom prst="line">
          <a:avLst/>
        </a:prstGeom>
      </xdr:spPr>
      <xdr:style>
        <a:lnRef idx="1">
          <a:schemeClr val="accent4"/>
        </a:lnRef>
        <a:fillRef idx="0">
          <a:schemeClr val="accent4"/>
        </a:fillRef>
        <a:effectRef idx="0">
          <a:schemeClr val="accent4"/>
        </a:effectRef>
        <a:fontRef idx="minor">
          <a:schemeClr val="tx1"/>
        </a:fontRef>
      </xdr:style>
    </xdr:cxnSp>
    <xdr:clientData/>
  </xdr:twoCellAnchor>
  <xdr:twoCellAnchor editAs="oneCell">
    <xdr:from>
      <xdr:col>19</xdr:col>
      <xdr:colOff>0</xdr:colOff>
      <xdr:row>1</xdr:row>
      <xdr:rowOff>99060</xdr:rowOff>
    </xdr:from>
    <xdr:to>
      <xdr:col>23</xdr:col>
      <xdr:colOff>0</xdr:colOff>
      <xdr:row>3</xdr:row>
      <xdr:rowOff>121920</xdr:rowOff>
    </xdr:to>
    <mc:AlternateContent xmlns:mc="http://schemas.openxmlformats.org/markup-compatibility/2006" xmlns:a14="http://schemas.microsoft.com/office/drawing/2010/main">
      <mc:Choice Requires="a14">
        <xdr:graphicFrame macro="">
          <xdr:nvGraphicFramePr>
            <xdr:cNvPr id="9" name="Dates (Year) 2">
              <a:extLst>
                <a:ext uri="{FF2B5EF4-FFF2-40B4-BE49-F238E27FC236}">
                  <a16:creationId xmlns:a16="http://schemas.microsoft.com/office/drawing/2014/main" id="{202BEDA8-8278-40B5-BFEC-76A0C6D8E213}"/>
                </a:ext>
              </a:extLst>
            </xdr:cNvPr>
            <xdr:cNvGraphicFramePr/>
          </xdr:nvGraphicFramePr>
          <xdr:xfrm>
            <a:off x="0" y="0"/>
            <a:ext cx="0" cy="0"/>
          </xdr:xfrm>
          <a:graphic>
            <a:graphicData uri="http://schemas.microsoft.com/office/drawing/2010/slicer">
              <sle:slicer xmlns:sle="http://schemas.microsoft.com/office/drawing/2010/slicer" name="Dates (Year) 2"/>
            </a:graphicData>
          </a:graphic>
        </xdr:graphicFrame>
      </mc:Choice>
      <mc:Fallback xmlns="">
        <xdr:sp macro="" textlink="">
          <xdr:nvSpPr>
            <xdr:cNvPr id="0" name=""/>
            <xdr:cNvSpPr>
              <a:spLocks noTextEdit="1"/>
            </xdr:cNvSpPr>
          </xdr:nvSpPr>
          <xdr:spPr>
            <a:xfrm>
              <a:off x="11361615" y="284675"/>
              <a:ext cx="2422770" cy="403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xdr:col>
      <xdr:colOff>394482</xdr:colOff>
      <xdr:row>0</xdr:row>
      <xdr:rowOff>0</xdr:rowOff>
    </xdr:from>
    <xdr:ext cx="5750365" cy="577659"/>
    <xdr:sp macro="" textlink="">
      <xdr:nvSpPr>
        <xdr:cNvPr id="5" name="TextBox 4">
          <a:extLst>
            <a:ext uri="{FF2B5EF4-FFF2-40B4-BE49-F238E27FC236}">
              <a16:creationId xmlns:a16="http://schemas.microsoft.com/office/drawing/2014/main" id="{8D37AA10-3432-4A8A-87C4-EE32D62A8D77}"/>
            </a:ext>
          </a:extLst>
        </xdr:cNvPr>
        <xdr:cNvSpPr txBox="1"/>
      </xdr:nvSpPr>
      <xdr:spPr>
        <a:xfrm>
          <a:off x="1000174" y="0"/>
          <a:ext cx="5750365" cy="57765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marL="0" marR="0" lvl="0" indent="0" defTabSz="914400" eaLnBrk="1" fontAlgn="auto" latinLnBrk="0" hangingPunct="1">
            <a:lnSpc>
              <a:spcPct val="100000"/>
            </a:lnSpc>
            <a:spcBef>
              <a:spcPts val="0"/>
            </a:spcBef>
            <a:spcAft>
              <a:spcPts val="0"/>
            </a:spcAft>
            <a:buClrTx/>
            <a:buSzTx/>
            <a:buFontTx/>
            <a:buNone/>
            <a:tabLst/>
            <a:defRPr/>
          </a:pPr>
          <a:r>
            <a:rPr lang="en-IN" sz="2000" b="1">
              <a:solidFill>
                <a:srgbClr val="FF0000"/>
              </a:solidFill>
              <a:effectLst/>
              <a:latin typeface="+mn-lt"/>
              <a:ea typeface="+mn-ea"/>
              <a:cs typeface="+mn-cs"/>
            </a:rPr>
            <a:t>EMERGENCY</a:t>
          </a:r>
          <a:r>
            <a:rPr lang="en-IN" sz="2000" b="1" baseline="0">
              <a:solidFill>
                <a:srgbClr val="FF0000"/>
              </a:solidFill>
              <a:effectLst/>
              <a:latin typeface="+mn-lt"/>
              <a:ea typeface="+mn-ea"/>
              <a:cs typeface="+mn-cs"/>
            </a:rPr>
            <a:t> PATIENT MANAGEMENT DASHBOARD</a:t>
          </a:r>
          <a:endParaRPr lang="en-IN" sz="2000" b="1">
            <a:solidFill>
              <a:srgbClr val="FF0000"/>
            </a:solidFill>
            <a:effectLst/>
          </a:endParaRPr>
        </a:p>
        <a:p>
          <a:endParaRPr lang="en-IN" sz="1100"/>
        </a:p>
      </xdr:txBody>
    </xdr:sp>
    <xdr:clientData/>
  </xdr:oneCellAnchor>
  <xdr:twoCellAnchor>
    <xdr:from>
      <xdr:col>5</xdr:col>
      <xdr:colOff>0</xdr:colOff>
      <xdr:row>2</xdr:row>
      <xdr:rowOff>0</xdr:rowOff>
    </xdr:from>
    <xdr:to>
      <xdr:col>7</xdr:col>
      <xdr:colOff>580879</xdr:colOff>
      <xdr:row>3</xdr:row>
      <xdr:rowOff>83820</xdr:rowOff>
    </xdr:to>
    <xdr:sp macro="" textlink="">
      <xdr:nvSpPr>
        <xdr:cNvPr id="6" name="TextBox 5">
          <a:extLst>
            <a:ext uri="{FF2B5EF4-FFF2-40B4-BE49-F238E27FC236}">
              <a16:creationId xmlns:a16="http://schemas.microsoft.com/office/drawing/2014/main" id="{5CD60D20-A193-473A-A795-DB31A04DD80A}"/>
            </a:ext>
          </a:extLst>
        </xdr:cNvPr>
        <xdr:cNvSpPr txBox="1"/>
      </xdr:nvSpPr>
      <xdr:spPr>
        <a:xfrm>
          <a:off x="3028462" y="381000"/>
          <a:ext cx="1645725" cy="269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IN" sz="1600" b="1">
              <a:solidFill>
                <a:schemeClr val="accent6"/>
              </a:solidFill>
              <a:effectLst/>
              <a:latin typeface="+mn-lt"/>
              <a:ea typeface="+mn-ea"/>
              <a:cs typeface="+mn-cs"/>
            </a:rPr>
            <a:t>Monthly</a:t>
          </a:r>
          <a:r>
            <a:rPr lang="en-IN" sz="1600" b="1" baseline="0">
              <a:solidFill>
                <a:schemeClr val="accent6"/>
              </a:solidFill>
              <a:effectLst/>
              <a:latin typeface="+mn-lt"/>
              <a:ea typeface="+mn-ea"/>
              <a:cs typeface="+mn-cs"/>
            </a:rPr>
            <a:t> Report</a:t>
          </a:r>
          <a:endParaRPr lang="en-IN" sz="1600" b="1">
            <a:solidFill>
              <a:schemeClr val="accent6"/>
            </a:solidFill>
            <a:effectLst/>
          </a:endParaRPr>
        </a:p>
        <a:p>
          <a:endParaRPr lang="en-IN" sz="1100"/>
        </a:p>
      </xdr:txBody>
    </xdr:sp>
    <xdr:clientData/>
  </xdr:twoCellAnchor>
  <xdr:oneCellAnchor>
    <xdr:from>
      <xdr:col>16</xdr:col>
      <xdr:colOff>456753</xdr:colOff>
      <xdr:row>1</xdr:row>
      <xdr:rowOff>145228</xdr:rowOff>
    </xdr:from>
    <xdr:ext cx="1318259" cy="365760"/>
    <xdr:sp macro="" textlink="">
      <xdr:nvSpPr>
        <xdr:cNvPr id="10" name="TextBox 9">
          <a:extLst>
            <a:ext uri="{FF2B5EF4-FFF2-40B4-BE49-F238E27FC236}">
              <a16:creationId xmlns:a16="http://schemas.microsoft.com/office/drawing/2014/main" id="{216F0BD6-6B7E-447C-AC1A-FB4F5BF1915A}"/>
            </a:ext>
          </a:extLst>
        </xdr:cNvPr>
        <xdr:cNvSpPr txBox="1"/>
      </xdr:nvSpPr>
      <xdr:spPr>
        <a:xfrm>
          <a:off x="10057953" y="324522"/>
          <a:ext cx="1318259"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FF0000"/>
              </a:solidFill>
            </a:rPr>
            <a:t>SELECT</a:t>
          </a:r>
          <a:r>
            <a:rPr lang="en-IN" sz="1400" b="1" baseline="0">
              <a:solidFill>
                <a:srgbClr val="FF0000"/>
              </a:solidFill>
            </a:rPr>
            <a:t>  YEAR:</a:t>
          </a:r>
          <a:endParaRPr lang="en-IN" sz="1400" b="1">
            <a:solidFill>
              <a:srgbClr val="FF0000"/>
            </a:solidFill>
          </a:endParaRPr>
        </a:p>
      </xdr:txBody>
    </xdr:sp>
    <xdr:clientData/>
  </xdr:oneCellAnchor>
  <xdr:twoCellAnchor>
    <xdr:from>
      <xdr:col>0</xdr:col>
      <xdr:colOff>0</xdr:colOff>
      <xdr:row>7</xdr:row>
      <xdr:rowOff>166077</xdr:rowOff>
    </xdr:from>
    <xdr:to>
      <xdr:col>28</xdr:col>
      <xdr:colOff>0</xdr:colOff>
      <xdr:row>7</xdr:row>
      <xdr:rowOff>166077</xdr:rowOff>
    </xdr:to>
    <xdr:cxnSp macro="">
      <xdr:nvCxnSpPr>
        <xdr:cNvPr id="12" name="Straight Connector 11">
          <a:extLst>
            <a:ext uri="{FF2B5EF4-FFF2-40B4-BE49-F238E27FC236}">
              <a16:creationId xmlns:a16="http://schemas.microsoft.com/office/drawing/2014/main" id="{B9446127-E04F-45C9-B944-B5EF50EEBCEC}"/>
            </a:ext>
          </a:extLst>
        </xdr:cNvPr>
        <xdr:cNvCxnSpPr/>
      </xdr:nvCxnSpPr>
      <xdr:spPr>
        <a:xfrm>
          <a:off x="0" y="1475154"/>
          <a:ext cx="16812846" cy="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xdr:col>
      <xdr:colOff>390769</xdr:colOff>
      <xdr:row>4</xdr:row>
      <xdr:rowOff>67578</xdr:rowOff>
    </xdr:from>
    <xdr:to>
      <xdr:col>23</xdr:col>
      <xdr:colOff>390769</xdr:colOff>
      <xdr:row>7</xdr:row>
      <xdr:rowOff>58615</xdr:rowOff>
    </xdr:to>
    <mc:AlternateContent xmlns:mc="http://schemas.openxmlformats.org/markup-compatibility/2006" xmlns:a14="http://schemas.microsoft.com/office/drawing/2010/main">
      <mc:Choice Requires="a14">
        <xdr:graphicFrame macro="">
          <xdr:nvGraphicFramePr>
            <xdr:cNvPr id="13" name="Dates (Month) 2">
              <a:extLst>
                <a:ext uri="{FF2B5EF4-FFF2-40B4-BE49-F238E27FC236}">
                  <a16:creationId xmlns:a16="http://schemas.microsoft.com/office/drawing/2014/main" id="{20391CD9-BBA2-4893-93E0-BF16B2F15B7C}"/>
                </a:ext>
              </a:extLst>
            </xdr:cNvPr>
            <xdr:cNvGraphicFramePr/>
          </xdr:nvGraphicFramePr>
          <xdr:xfrm>
            <a:off x="0" y="0"/>
            <a:ext cx="0" cy="0"/>
          </xdr:xfrm>
          <a:graphic>
            <a:graphicData uri="http://schemas.microsoft.com/office/drawing/2010/slicer">
              <sle:slicer xmlns:sle="http://schemas.microsoft.com/office/drawing/2010/slicer" name="Dates (Month) 2"/>
            </a:graphicData>
          </a:graphic>
        </xdr:graphicFrame>
      </mc:Choice>
      <mc:Fallback xmlns="">
        <xdr:sp macro="" textlink="">
          <xdr:nvSpPr>
            <xdr:cNvPr id="0" name=""/>
            <xdr:cNvSpPr>
              <a:spLocks noTextEdit="1"/>
            </xdr:cNvSpPr>
          </xdr:nvSpPr>
          <xdr:spPr>
            <a:xfrm>
              <a:off x="2207846" y="819809"/>
              <a:ext cx="11967308" cy="54788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0</xdr:col>
      <xdr:colOff>0</xdr:colOff>
      <xdr:row>4</xdr:row>
      <xdr:rowOff>17929</xdr:rowOff>
    </xdr:from>
    <xdr:ext cx="2438399" cy="365760"/>
    <xdr:sp macro="" textlink="">
      <xdr:nvSpPr>
        <xdr:cNvPr id="14" name="TextBox 13">
          <a:extLst>
            <a:ext uri="{FF2B5EF4-FFF2-40B4-BE49-F238E27FC236}">
              <a16:creationId xmlns:a16="http://schemas.microsoft.com/office/drawing/2014/main" id="{36867360-6342-4DA4-B0C7-DD6CEFBA825F}"/>
            </a:ext>
          </a:extLst>
        </xdr:cNvPr>
        <xdr:cNvSpPr txBox="1"/>
      </xdr:nvSpPr>
      <xdr:spPr>
        <a:xfrm>
          <a:off x="0" y="744070"/>
          <a:ext cx="2438399"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2000" b="1">
              <a:solidFill>
                <a:srgbClr val="FF0000"/>
              </a:solidFill>
            </a:rPr>
            <a:t>SELECT</a:t>
          </a:r>
          <a:r>
            <a:rPr lang="en-IN" sz="2000" b="1" baseline="0">
              <a:solidFill>
                <a:srgbClr val="FF0000"/>
              </a:solidFill>
            </a:rPr>
            <a:t>  MONTH:</a:t>
          </a:r>
          <a:endParaRPr lang="en-IN" sz="2000" b="1">
            <a:solidFill>
              <a:srgbClr val="FF0000"/>
            </a:solidFill>
          </a:endParaRPr>
        </a:p>
      </xdr:txBody>
    </xdr:sp>
    <xdr:clientData/>
  </xdr:oneCellAnchor>
  <xdr:twoCellAnchor>
    <xdr:from>
      <xdr:col>0</xdr:col>
      <xdr:colOff>302846</xdr:colOff>
      <xdr:row>8</xdr:row>
      <xdr:rowOff>47513</xdr:rowOff>
    </xdr:from>
    <xdr:to>
      <xdr:col>4</xdr:col>
      <xdr:colOff>0</xdr:colOff>
      <xdr:row>14</xdr:row>
      <xdr:rowOff>0</xdr:rowOff>
    </xdr:to>
    <xdr:sp macro="" textlink="">
      <xdr:nvSpPr>
        <xdr:cNvPr id="19" name="Rectangle: Rounded Corners 18">
          <a:extLst>
            <a:ext uri="{FF2B5EF4-FFF2-40B4-BE49-F238E27FC236}">
              <a16:creationId xmlns:a16="http://schemas.microsoft.com/office/drawing/2014/main" id="{F9DB95D1-9DE4-4989-95FB-0519EC7DF139}"/>
            </a:ext>
          </a:extLst>
        </xdr:cNvPr>
        <xdr:cNvSpPr/>
      </xdr:nvSpPr>
      <xdr:spPr>
        <a:xfrm>
          <a:off x="302846" y="1542205"/>
          <a:ext cx="2119923" cy="106618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190500</xdr:colOff>
      <xdr:row>8</xdr:row>
      <xdr:rowOff>146539</xdr:rowOff>
    </xdr:from>
    <xdr:to>
      <xdr:col>8</xdr:col>
      <xdr:colOff>0</xdr:colOff>
      <xdr:row>14</xdr:row>
      <xdr:rowOff>91406</xdr:rowOff>
    </xdr:to>
    <xdr:sp macro="" textlink="">
      <xdr:nvSpPr>
        <xdr:cNvPr id="22" name="Rectangle: Rounded Corners 21">
          <a:extLst>
            <a:ext uri="{FF2B5EF4-FFF2-40B4-BE49-F238E27FC236}">
              <a16:creationId xmlns:a16="http://schemas.microsoft.com/office/drawing/2014/main" id="{61B61BDF-26CA-4E82-8746-092B5A4223C4}"/>
            </a:ext>
          </a:extLst>
        </xdr:cNvPr>
        <xdr:cNvSpPr/>
      </xdr:nvSpPr>
      <xdr:spPr>
        <a:xfrm>
          <a:off x="2613269" y="1641231"/>
          <a:ext cx="2085731" cy="105856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179294</xdr:colOff>
      <xdr:row>8</xdr:row>
      <xdr:rowOff>117231</xdr:rowOff>
    </xdr:from>
    <xdr:to>
      <xdr:col>12</xdr:col>
      <xdr:colOff>0</xdr:colOff>
      <xdr:row>14</xdr:row>
      <xdr:rowOff>69718</xdr:rowOff>
    </xdr:to>
    <xdr:sp macro="" textlink="">
      <xdr:nvSpPr>
        <xdr:cNvPr id="23" name="Rectangle: Rounded Corners 22">
          <a:extLst>
            <a:ext uri="{FF2B5EF4-FFF2-40B4-BE49-F238E27FC236}">
              <a16:creationId xmlns:a16="http://schemas.microsoft.com/office/drawing/2014/main" id="{E211D414-864B-4730-9BED-A0F03131CF3D}"/>
            </a:ext>
          </a:extLst>
        </xdr:cNvPr>
        <xdr:cNvSpPr/>
      </xdr:nvSpPr>
      <xdr:spPr>
        <a:xfrm>
          <a:off x="4878294" y="1611923"/>
          <a:ext cx="2243475" cy="106618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12</xdr:col>
      <xdr:colOff>44824</xdr:colOff>
      <xdr:row>8</xdr:row>
      <xdr:rowOff>106128</xdr:rowOff>
    </xdr:from>
    <xdr:to>
      <xdr:col>24</xdr:col>
      <xdr:colOff>0</xdr:colOff>
      <xdr:row>14</xdr:row>
      <xdr:rowOff>58615</xdr:rowOff>
    </xdr:to>
    <xdr:sp macro="" textlink="">
      <xdr:nvSpPr>
        <xdr:cNvPr id="24" name="Rectangle: Rounded Corners 23">
          <a:extLst>
            <a:ext uri="{FF2B5EF4-FFF2-40B4-BE49-F238E27FC236}">
              <a16:creationId xmlns:a16="http://schemas.microsoft.com/office/drawing/2014/main" id="{628BAE3D-C63E-4D74-9EBF-36C8948750D6}"/>
            </a:ext>
          </a:extLst>
        </xdr:cNvPr>
        <xdr:cNvSpPr/>
      </xdr:nvSpPr>
      <xdr:spPr>
        <a:xfrm>
          <a:off x="7166593" y="1600820"/>
          <a:ext cx="7223484" cy="1066180"/>
        </a:xfrm>
        <a:prstGeom prst="roundRect">
          <a:avLst/>
        </a:prstGeom>
        <a:solidFill>
          <a:schemeClr val="tx1">
            <a:lumMod val="95000"/>
            <a:lumOff val="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107576</xdr:colOff>
      <xdr:row>10</xdr:row>
      <xdr:rowOff>0</xdr:rowOff>
    </xdr:from>
    <xdr:ext cx="609600" cy="365760"/>
    <xdr:sp macro="" textlink="'pivot table'!A11">
      <xdr:nvSpPr>
        <xdr:cNvPr id="28" name="TextBox 27">
          <a:extLst>
            <a:ext uri="{FF2B5EF4-FFF2-40B4-BE49-F238E27FC236}">
              <a16:creationId xmlns:a16="http://schemas.microsoft.com/office/drawing/2014/main" id="{35839258-1A7B-46F5-BF24-DA520F7E8305}"/>
            </a:ext>
          </a:extLst>
        </xdr:cNvPr>
        <xdr:cNvSpPr txBox="1"/>
      </xdr:nvSpPr>
      <xdr:spPr>
        <a:xfrm>
          <a:off x="1326776" y="1801906"/>
          <a:ext cx="60960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D2B3B215-345B-45B7-ABB8-90DEC3F8F02E}" type="TxLink">
            <a:rPr lang="en-US" sz="1800" b="1" i="0" u="none" strike="noStrike">
              <a:solidFill>
                <a:schemeClr val="accent1"/>
              </a:solidFill>
              <a:latin typeface="Calibri"/>
              <a:ea typeface="Calibri"/>
              <a:cs typeface="Calibri"/>
            </a:rPr>
            <a:pPr/>
            <a:t>485</a:t>
          </a:fld>
          <a:endParaRPr lang="en-IN" sz="2400" b="1">
            <a:solidFill>
              <a:schemeClr val="accent1"/>
            </a:solidFill>
          </a:endParaRPr>
        </a:p>
      </xdr:txBody>
    </xdr:sp>
    <xdr:clientData/>
  </xdr:oneCellAnchor>
  <xdr:twoCellAnchor>
    <xdr:from>
      <xdr:col>1</xdr:col>
      <xdr:colOff>19538</xdr:colOff>
      <xdr:row>10</xdr:row>
      <xdr:rowOff>0</xdr:rowOff>
    </xdr:from>
    <xdr:to>
      <xdr:col>4</xdr:col>
      <xdr:colOff>0</xdr:colOff>
      <xdr:row>14</xdr:row>
      <xdr:rowOff>0</xdr:rowOff>
    </xdr:to>
    <xdr:graphicFrame macro="">
      <xdr:nvGraphicFramePr>
        <xdr:cNvPr id="29" name="Chart 28">
          <a:extLst>
            <a:ext uri="{FF2B5EF4-FFF2-40B4-BE49-F238E27FC236}">
              <a16:creationId xmlns:a16="http://schemas.microsoft.com/office/drawing/2014/main" id="{54398F73-AF57-435E-AE15-5DAD1F14E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5</xdr:col>
      <xdr:colOff>315686</xdr:colOff>
      <xdr:row>10</xdr:row>
      <xdr:rowOff>39409</xdr:rowOff>
    </xdr:from>
    <xdr:ext cx="735105" cy="320937"/>
    <xdr:sp macro="" textlink="'pivot table'!A15">
      <xdr:nvSpPr>
        <xdr:cNvPr id="33" name="TextBox 32">
          <a:extLst>
            <a:ext uri="{FF2B5EF4-FFF2-40B4-BE49-F238E27FC236}">
              <a16:creationId xmlns:a16="http://schemas.microsoft.com/office/drawing/2014/main" id="{FF663BE5-5C99-4B55-BA2F-B0EEE6984148}"/>
            </a:ext>
          </a:extLst>
        </xdr:cNvPr>
        <xdr:cNvSpPr txBox="1"/>
      </xdr:nvSpPr>
      <xdr:spPr>
        <a:xfrm>
          <a:off x="3363686" y="1900866"/>
          <a:ext cx="735105" cy="320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B7ED418E-AA82-43C5-90E1-7F707ED8140A}" type="TxLink">
            <a:rPr lang="en-US" sz="1800" b="1" i="0" u="none" strike="noStrike">
              <a:solidFill>
                <a:schemeClr val="accent6"/>
              </a:solidFill>
              <a:latin typeface="Calibri"/>
              <a:ea typeface="Calibri"/>
              <a:cs typeface="Calibri"/>
            </a:rPr>
            <a:pPr/>
            <a:t>35.51</a:t>
          </a:fld>
          <a:endParaRPr lang="en-IN" sz="2400" b="1">
            <a:solidFill>
              <a:schemeClr val="accent6"/>
            </a:solidFill>
          </a:endParaRPr>
        </a:p>
      </xdr:txBody>
    </xdr:sp>
    <xdr:clientData/>
  </xdr:oneCellAnchor>
  <xdr:oneCellAnchor>
    <xdr:from>
      <xdr:col>7</xdr:col>
      <xdr:colOff>170330</xdr:colOff>
      <xdr:row>21</xdr:row>
      <xdr:rowOff>0</xdr:rowOff>
    </xdr:from>
    <xdr:ext cx="609599" cy="358588"/>
    <xdr:sp macro="" textlink="">
      <xdr:nvSpPr>
        <xdr:cNvPr id="35" name="TextBox 34">
          <a:extLst>
            <a:ext uri="{FF2B5EF4-FFF2-40B4-BE49-F238E27FC236}">
              <a16:creationId xmlns:a16="http://schemas.microsoft.com/office/drawing/2014/main" id="{4F74182B-E58B-4F04-96ED-7E0DA51DDA5C}"/>
            </a:ext>
          </a:extLst>
        </xdr:cNvPr>
        <xdr:cNvSpPr txBox="1"/>
      </xdr:nvSpPr>
      <xdr:spPr>
        <a:xfrm>
          <a:off x="4285130" y="3774141"/>
          <a:ext cx="609599" cy="358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a:p>
      </xdr:txBody>
    </xdr:sp>
    <xdr:clientData/>
  </xdr:oneCellAnchor>
  <xdr:twoCellAnchor>
    <xdr:from>
      <xdr:col>4</xdr:col>
      <xdr:colOff>179294</xdr:colOff>
      <xdr:row>11</xdr:row>
      <xdr:rowOff>143435</xdr:rowOff>
    </xdr:from>
    <xdr:to>
      <xdr:col>8</xdr:col>
      <xdr:colOff>0</xdr:colOff>
      <xdr:row>14</xdr:row>
      <xdr:rowOff>138505</xdr:rowOff>
    </xdr:to>
    <xdr:graphicFrame macro="">
      <xdr:nvGraphicFramePr>
        <xdr:cNvPr id="38" name="Chart 37">
          <a:extLst>
            <a:ext uri="{FF2B5EF4-FFF2-40B4-BE49-F238E27FC236}">
              <a16:creationId xmlns:a16="http://schemas.microsoft.com/office/drawing/2014/main" id="{C2A777C9-4D56-4124-89C2-362778A23F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23</xdr:col>
      <xdr:colOff>517769</xdr:colOff>
      <xdr:row>21</xdr:row>
      <xdr:rowOff>58616</xdr:rowOff>
    </xdr:from>
    <xdr:ext cx="1488587" cy="206188"/>
    <xdr:sp macro="" textlink="">
      <xdr:nvSpPr>
        <xdr:cNvPr id="40" name="TextBox 39">
          <a:extLst>
            <a:ext uri="{FF2B5EF4-FFF2-40B4-BE49-F238E27FC236}">
              <a16:creationId xmlns:a16="http://schemas.microsoft.com/office/drawing/2014/main" id="{6885FADB-6CBA-4766-A141-D3D9C0DF2FDA}"/>
            </a:ext>
          </a:extLst>
        </xdr:cNvPr>
        <xdr:cNvSpPr txBox="1"/>
      </xdr:nvSpPr>
      <xdr:spPr>
        <a:xfrm>
          <a:off x="14302154" y="3966308"/>
          <a:ext cx="1488587" cy="206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400" b="1" baseline="0"/>
        </a:p>
        <a:p>
          <a:endParaRPr lang="en-IN" sz="1400" b="1" baseline="0"/>
        </a:p>
        <a:p>
          <a:endParaRPr lang="en-IN" sz="1400" b="1" baseline="0"/>
        </a:p>
        <a:p>
          <a:endParaRPr lang="en-IN" sz="1400" b="1" baseline="0"/>
        </a:p>
      </xdr:txBody>
    </xdr:sp>
    <xdr:clientData/>
  </xdr:oneCellAnchor>
  <xdr:oneCellAnchor>
    <xdr:from>
      <xdr:col>10</xdr:col>
      <xdr:colOff>0</xdr:colOff>
      <xdr:row>10</xdr:row>
      <xdr:rowOff>78614</xdr:rowOff>
    </xdr:from>
    <xdr:ext cx="609600" cy="331694"/>
    <xdr:sp macro="" textlink="'pivot table'!A20">
      <xdr:nvSpPr>
        <xdr:cNvPr id="42" name="TextBox 41">
          <a:extLst>
            <a:ext uri="{FF2B5EF4-FFF2-40B4-BE49-F238E27FC236}">
              <a16:creationId xmlns:a16="http://schemas.microsoft.com/office/drawing/2014/main" id="{C13F340C-1107-406F-8B2C-A9945074F228}"/>
            </a:ext>
          </a:extLst>
        </xdr:cNvPr>
        <xdr:cNvSpPr txBox="1"/>
      </xdr:nvSpPr>
      <xdr:spPr>
        <a:xfrm>
          <a:off x="5910385" y="1944537"/>
          <a:ext cx="609600" cy="33169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fld id="{7AC9BE03-12BB-4C7A-BE83-F686A6EFE936}" type="TxLink">
            <a:rPr lang="en-US" sz="1400" b="1" i="0" u="none" strike="noStrike" baseline="0">
              <a:solidFill>
                <a:schemeClr val="accent2"/>
              </a:solidFill>
              <a:latin typeface="Calibri"/>
              <a:ea typeface="Calibri"/>
              <a:cs typeface="Calibri"/>
            </a:rPr>
            <a:pPr/>
            <a:t>4.71</a:t>
          </a:fld>
          <a:endParaRPr lang="en-IN" sz="1800" b="1" baseline="0">
            <a:solidFill>
              <a:schemeClr val="accent2"/>
            </a:solidFill>
          </a:endParaRPr>
        </a:p>
      </xdr:txBody>
    </xdr:sp>
    <xdr:clientData/>
  </xdr:oneCellAnchor>
  <xdr:twoCellAnchor>
    <xdr:from>
      <xdr:col>7</xdr:col>
      <xdr:colOff>555171</xdr:colOff>
      <xdr:row>11</xdr:row>
      <xdr:rowOff>42180</xdr:rowOff>
    </xdr:from>
    <xdr:to>
      <xdr:col>11</xdr:col>
      <xdr:colOff>555171</xdr:colOff>
      <xdr:row>15</xdr:row>
      <xdr:rowOff>0</xdr:rowOff>
    </xdr:to>
    <xdr:graphicFrame macro="">
      <xdr:nvGraphicFramePr>
        <xdr:cNvPr id="43" name="Chart 42">
          <a:extLst>
            <a:ext uri="{FF2B5EF4-FFF2-40B4-BE49-F238E27FC236}">
              <a16:creationId xmlns:a16="http://schemas.microsoft.com/office/drawing/2014/main" id="{C6056C41-F26D-4284-8BED-9455C78D107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mc:AlternateContent xmlns:mc="http://schemas.openxmlformats.org/markup-compatibility/2006">
    <mc:Choice xmlns:a14="http://schemas.microsoft.com/office/drawing/2010/main" Requires="a14">
      <xdr:twoCellAnchor editAs="oneCell">
        <xdr:from>
          <xdr:col>12</xdr:col>
          <xdr:colOff>255173</xdr:colOff>
          <xdr:row>10</xdr:row>
          <xdr:rowOff>78154</xdr:rowOff>
        </xdr:from>
        <xdr:to>
          <xdr:col>22</xdr:col>
          <xdr:colOff>224693</xdr:colOff>
          <xdr:row>13</xdr:row>
          <xdr:rowOff>174124</xdr:rowOff>
        </xdr:to>
        <xdr:pic>
          <xdr:nvPicPr>
            <xdr:cNvPr id="49" name="Picture 48">
              <a:extLst>
                <a:ext uri="{FF2B5EF4-FFF2-40B4-BE49-F238E27FC236}">
                  <a16:creationId xmlns:a16="http://schemas.microsoft.com/office/drawing/2014/main" id="{DF5C9867-B067-4090-9357-2EA57148470D}"/>
                </a:ext>
              </a:extLst>
            </xdr:cNvPr>
            <xdr:cNvPicPr>
              <a:picLocks noChangeAspect="1" noChangeArrowheads="1"/>
              <a:extLst>
                <a:ext uri="{84589F7E-364E-4C9E-8A38-B11213B215E9}">
                  <a14:cameraTool cellRange="'pivot table'!$A$34:$D$37" spid="_x0000_s10261"/>
                </a:ext>
              </a:extLst>
            </xdr:cNvPicPr>
          </xdr:nvPicPr>
          <xdr:blipFill>
            <a:blip xmlns:r="http://schemas.openxmlformats.org/officeDocument/2006/relationships" r:embed="rId4"/>
            <a:srcRect/>
            <a:stretch>
              <a:fillRect/>
            </a:stretch>
          </xdr:blipFill>
          <xdr:spPr bwMode="auto">
            <a:xfrm>
              <a:off x="7376942" y="1944077"/>
              <a:ext cx="6026443" cy="652816"/>
            </a:xfrm>
            <a:prstGeom prst="rect">
              <a:avLst/>
            </a:prstGeom>
            <a:noFill/>
            <a:extLst>
              <a:ext uri="{909E8E84-426E-40DD-AFC4-6F175D3DCCD1}">
                <a14:hiddenFill>
                  <a:solidFill>
                    <a:srgbClr val="FFFFFF"/>
                  </a:solidFill>
                </a14:hiddenFill>
              </a:ext>
            </a:extLst>
          </xdr:spPr>
        </xdr:pic>
        <xdr:clientData/>
      </xdr:twoCellAnchor>
    </mc:Choice>
    <mc:Fallback/>
  </mc:AlternateContent>
  <xdr:oneCellAnchor>
    <xdr:from>
      <xdr:col>15</xdr:col>
      <xdr:colOff>498230</xdr:colOff>
      <xdr:row>8</xdr:row>
      <xdr:rowOff>32181</xdr:rowOff>
    </xdr:from>
    <xdr:ext cx="2277483" cy="358588"/>
    <xdr:sp macro="" textlink="">
      <xdr:nvSpPr>
        <xdr:cNvPr id="51" name="TextBox 50">
          <a:extLst>
            <a:ext uri="{FF2B5EF4-FFF2-40B4-BE49-F238E27FC236}">
              <a16:creationId xmlns:a16="http://schemas.microsoft.com/office/drawing/2014/main" id="{D223B891-0AFF-45D5-BEF0-258A40C5D3CC}"/>
            </a:ext>
          </a:extLst>
        </xdr:cNvPr>
        <xdr:cNvSpPr txBox="1"/>
      </xdr:nvSpPr>
      <xdr:spPr>
        <a:xfrm>
          <a:off x="9437076" y="1526873"/>
          <a:ext cx="2277483" cy="3585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baseline="0">
              <a:solidFill>
                <a:srgbClr val="FF0000"/>
              </a:solidFill>
            </a:rPr>
            <a:t>ADDMISSION STATUS:</a:t>
          </a:r>
          <a:endParaRPr lang="en-IN" sz="1400" b="1">
            <a:solidFill>
              <a:srgbClr val="FF0000"/>
            </a:solidFill>
          </a:endParaRPr>
        </a:p>
      </xdr:txBody>
    </xdr:sp>
    <xdr:clientData/>
  </xdr:oneCellAnchor>
  <xdr:twoCellAnchor>
    <xdr:from>
      <xdr:col>0</xdr:col>
      <xdr:colOff>0</xdr:colOff>
      <xdr:row>15</xdr:row>
      <xdr:rowOff>0</xdr:rowOff>
    </xdr:from>
    <xdr:to>
      <xdr:col>28</xdr:col>
      <xdr:colOff>0</xdr:colOff>
      <xdr:row>15</xdr:row>
      <xdr:rowOff>0</xdr:rowOff>
    </xdr:to>
    <xdr:cxnSp macro="">
      <xdr:nvCxnSpPr>
        <xdr:cNvPr id="54" name="Straight Connector 53">
          <a:extLst>
            <a:ext uri="{FF2B5EF4-FFF2-40B4-BE49-F238E27FC236}">
              <a16:creationId xmlns:a16="http://schemas.microsoft.com/office/drawing/2014/main" id="{E83A2D8D-0C31-41BB-9578-0F7119F71012}"/>
            </a:ext>
          </a:extLst>
        </xdr:cNvPr>
        <xdr:cNvCxnSpPr/>
      </xdr:nvCxnSpPr>
      <xdr:spPr>
        <a:xfrm>
          <a:off x="0" y="2698376"/>
          <a:ext cx="16916400" cy="0"/>
        </a:xfrm>
        <a:prstGeom prst="line">
          <a:avLst/>
        </a:prstGeom>
      </xdr:spPr>
      <xdr:style>
        <a:lnRef idx="1">
          <a:schemeClr val="accent6"/>
        </a:lnRef>
        <a:fillRef idx="0">
          <a:schemeClr val="accent6"/>
        </a:fillRef>
        <a:effectRef idx="0">
          <a:schemeClr val="accent6"/>
        </a:effectRef>
        <a:fontRef idx="minor">
          <a:schemeClr val="tx1"/>
        </a:fontRef>
      </xdr:style>
    </xdr:cxnSp>
    <xdr:clientData/>
  </xdr:twoCellAnchor>
  <xdr:twoCellAnchor>
    <xdr:from>
      <xdr:col>0</xdr:col>
      <xdr:colOff>238847</xdr:colOff>
      <xdr:row>15</xdr:row>
      <xdr:rowOff>166076</xdr:rowOff>
    </xdr:from>
    <xdr:to>
      <xdr:col>7</xdr:col>
      <xdr:colOff>0</xdr:colOff>
      <xdr:row>29</xdr:row>
      <xdr:rowOff>0</xdr:rowOff>
    </xdr:to>
    <xdr:sp macro="" textlink="">
      <xdr:nvSpPr>
        <xdr:cNvPr id="59" name="Rectangle: Rounded Corners 58">
          <a:extLst>
            <a:ext uri="{FF2B5EF4-FFF2-40B4-BE49-F238E27FC236}">
              <a16:creationId xmlns:a16="http://schemas.microsoft.com/office/drawing/2014/main" id="{A7215A49-DFCE-435E-8491-7FF2AB083FF9}"/>
            </a:ext>
          </a:extLst>
        </xdr:cNvPr>
        <xdr:cNvSpPr/>
      </xdr:nvSpPr>
      <xdr:spPr>
        <a:xfrm>
          <a:off x="238847" y="2960076"/>
          <a:ext cx="3854461" cy="2432539"/>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0</xdr:colOff>
      <xdr:row>16</xdr:row>
      <xdr:rowOff>117231</xdr:rowOff>
    </xdr:from>
    <xdr:to>
      <xdr:col>14</xdr:col>
      <xdr:colOff>464178</xdr:colOff>
      <xdr:row>27</xdr:row>
      <xdr:rowOff>117230</xdr:rowOff>
    </xdr:to>
    <xdr:graphicFrame macro="">
      <xdr:nvGraphicFramePr>
        <xdr:cNvPr id="64" name="Chart 63">
          <a:extLst>
            <a:ext uri="{FF2B5EF4-FFF2-40B4-BE49-F238E27FC236}">
              <a16:creationId xmlns:a16="http://schemas.microsoft.com/office/drawing/2014/main" id="{F39347E9-81E4-40E3-BCB6-C8202413B9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xdr:colOff>
      <xdr:row>16</xdr:row>
      <xdr:rowOff>0</xdr:rowOff>
    </xdr:from>
    <xdr:to>
      <xdr:col>7</xdr:col>
      <xdr:colOff>1</xdr:colOff>
      <xdr:row>26</xdr:row>
      <xdr:rowOff>0</xdr:rowOff>
    </xdr:to>
    <xdr:graphicFrame macro="">
      <xdr:nvGraphicFramePr>
        <xdr:cNvPr id="66" name="Chart 65">
          <a:extLst>
            <a:ext uri="{FF2B5EF4-FFF2-40B4-BE49-F238E27FC236}">
              <a16:creationId xmlns:a16="http://schemas.microsoft.com/office/drawing/2014/main" id="{5230F42F-A8F1-44F6-A388-2F20BEDC19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304801</xdr:colOff>
      <xdr:row>15</xdr:row>
      <xdr:rowOff>68384</xdr:rowOff>
    </xdr:from>
    <xdr:to>
      <xdr:col>22</xdr:col>
      <xdr:colOff>0</xdr:colOff>
      <xdr:row>26</xdr:row>
      <xdr:rowOff>68385</xdr:rowOff>
    </xdr:to>
    <xdr:graphicFrame macro="">
      <xdr:nvGraphicFramePr>
        <xdr:cNvPr id="68" name="Chart 67">
          <a:extLst>
            <a:ext uri="{FF2B5EF4-FFF2-40B4-BE49-F238E27FC236}">
              <a16:creationId xmlns:a16="http://schemas.microsoft.com/office/drawing/2014/main" id="{F25B1138-6BF2-4E18-8B02-5074BC6FFD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420634</xdr:colOff>
      <xdr:row>15</xdr:row>
      <xdr:rowOff>117230</xdr:rowOff>
    </xdr:from>
    <xdr:to>
      <xdr:col>15</xdr:col>
      <xdr:colOff>0</xdr:colOff>
      <xdr:row>29</xdr:row>
      <xdr:rowOff>0</xdr:rowOff>
    </xdr:to>
    <xdr:sp macro="" textlink="">
      <xdr:nvSpPr>
        <xdr:cNvPr id="71" name="Rectangle: Rounded Corners 70">
          <a:extLst>
            <a:ext uri="{FF2B5EF4-FFF2-40B4-BE49-F238E27FC236}">
              <a16:creationId xmlns:a16="http://schemas.microsoft.com/office/drawing/2014/main" id="{79AE485D-4A68-4193-9730-7680286CA6FB}"/>
            </a:ext>
          </a:extLst>
        </xdr:cNvPr>
        <xdr:cNvSpPr/>
      </xdr:nvSpPr>
      <xdr:spPr>
        <a:xfrm>
          <a:off x="4513942" y="2911230"/>
          <a:ext cx="4424904" cy="2481385"/>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312615</xdr:colOff>
      <xdr:row>15</xdr:row>
      <xdr:rowOff>107461</xdr:rowOff>
    </xdr:from>
    <xdr:to>
      <xdr:col>23</xdr:col>
      <xdr:colOff>0</xdr:colOff>
      <xdr:row>28</xdr:row>
      <xdr:rowOff>185614</xdr:rowOff>
    </xdr:to>
    <xdr:sp macro="" textlink="">
      <xdr:nvSpPr>
        <xdr:cNvPr id="72" name="Rectangle: Rounded Corners 71">
          <a:extLst>
            <a:ext uri="{FF2B5EF4-FFF2-40B4-BE49-F238E27FC236}">
              <a16:creationId xmlns:a16="http://schemas.microsoft.com/office/drawing/2014/main" id="{249D4A51-EC70-454A-BA06-278D8C25E5F3}"/>
            </a:ext>
          </a:extLst>
        </xdr:cNvPr>
        <xdr:cNvSpPr/>
      </xdr:nvSpPr>
      <xdr:spPr>
        <a:xfrm>
          <a:off x="9251461" y="2901461"/>
          <a:ext cx="4532924" cy="2491153"/>
        </a:xfrm>
        <a:prstGeom prst="roundRect">
          <a:avLst/>
        </a:prstGeom>
        <a:no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459154</xdr:colOff>
      <xdr:row>30</xdr:row>
      <xdr:rowOff>0</xdr:rowOff>
    </xdr:from>
    <xdr:to>
      <xdr:col>27</xdr:col>
      <xdr:colOff>459154</xdr:colOff>
      <xdr:row>35</xdr:row>
      <xdr:rowOff>185614</xdr:rowOff>
    </xdr:to>
    <xdr:sp macro="" textlink="">
      <xdr:nvSpPr>
        <xdr:cNvPr id="73" name="Rectangle: Rounded Corners 72">
          <a:extLst>
            <a:ext uri="{FF2B5EF4-FFF2-40B4-BE49-F238E27FC236}">
              <a16:creationId xmlns:a16="http://schemas.microsoft.com/office/drawing/2014/main" id="{8833B534-2AFA-4B03-9B98-88E4B978406F}"/>
            </a:ext>
          </a:extLst>
        </xdr:cNvPr>
        <xdr:cNvSpPr/>
      </xdr:nvSpPr>
      <xdr:spPr>
        <a:xfrm>
          <a:off x="459154" y="5578231"/>
          <a:ext cx="16207154" cy="1113691"/>
        </a:xfrm>
        <a:prstGeom prst="round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341922</xdr:colOff>
      <xdr:row>30</xdr:row>
      <xdr:rowOff>97692</xdr:rowOff>
    </xdr:from>
    <xdr:to>
      <xdr:col>26</xdr:col>
      <xdr:colOff>341922</xdr:colOff>
      <xdr:row>36</xdr:row>
      <xdr:rowOff>81280</xdr:rowOff>
    </xdr:to>
    <xdr:graphicFrame macro="">
      <xdr:nvGraphicFramePr>
        <xdr:cNvPr id="74" name="Chart 73">
          <a:extLst>
            <a:ext uri="{FF2B5EF4-FFF2-40B4-BE49-F238E27FC236}">
              <a16:creationId xmlns:a16="http://schemas.microsoft.com/office/drawing/2014/main" id="{EAFB7FF1-15F2-4EB0-B0E0-CF226BCCAA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127000</xdr:colOff>
      <xdr:row>29</xdr:row>
      <xdr:rowOff>136770</xdr:rowOff>
    </xdr:from>
    <xdr:to>
      <xdr:col>26</xdr:col>
      <xdr:colOff>0</xdr:colOff>
      <xdr:row>35</xdr:row>
      <xdr:rowOff>136768</xdr:rowOff>
    </xdr:to>
    <xdr:sp macro="" textlink="">
      <xdr:nvSpPr>
        <xdr:cNvPr id="75" name="Rectangle: Rounded Corners 74">
          <a:extLst>
            <a:ext uri="{FF2B5EF4-FFF2-40B4-BE49-F238E27FC236}">
              <a16:creationId xmlns:a16="http://schemas.microsoft.com/office/drawing/2014/main" id="{EED8E567-8762-498F-8BB3-9A774EE7E8F3}"/>
            </a:ext>
          </a:extLst>
        </xdr:cNvPr>
        <xdr:cNvSpPr/>
      </xdr:nvSpPr>
      <xdr:spPr>
        <a:xfrm>
          <a:off x="127000" y="5529385"/>
          <a:ext cx="15474462" cy="1113691"/>
        </a:xfrm>
        <a:prstGeom prst="roundRect">
          <a:avLst/>
        </a:prstGeom>
        <a:noFill/>
        <a:ln>
          <a:solidFill>
            <a:schemeClr val="accent1">
              <a:shade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oneCellAnchor>
    <xdr:from>
      <xdr:col>2</xdr:col>
      <xdr:colOff>205740</xdr:colOff>
      <xdr:row>26</xdr:row>
      <xdr:rowOff>117231</xdr:rowOff>
    </xdr:from>
    <xdr:ext cx="2070490" cy="365760"/>
    <xdr:sp macro="" textlink="">
      <xdr:nvSpPr>
        <xdr:cNvPr id="76" name="TextBox 75">
          <a:extLst>
            <a:ext uri="{FF2B5EF4-FFF2-40B4-BE49-F238E27FC236}">
              <a16:creationId xmlns:a16="http://schemas.microsoft.com/office/drawing/2014/main" id="{A2FF487C-5AAF-4867-8E41-906642800FC4}"/>
            </a:ext>
          </a:extLst>
        </xdr:cNvPr>
        <xdr:cNvSpPr txBox="1"/>
      </xdr:nvSpPr>
      <xdr:spPr>
        <a:xfrm>
          <a:off x="1417125" y="4953000"/>
          <a:ext cx="2070490"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FF0000"/>
              </a:solidFill>
            </a:rPr>
            <a:t>ATTEND</a:t>
          </a:r>
          <a:r>
            <a:rPr lang="en-IN" sz="1400" b="1" baseline="0">
              <a:solidFill>
                <a:srgbClr val="FF0000"/>
              </a:solidFill>
            </a:rPr>
            <a:t> STATUS</a:t>
          </a:r>
          <a:endParaRPr lang="en-IN" sz="1400" b="1">
            <a:solidFill>
              <a:srgbClr val="FF0000"/>
            </a:solidFill>
          </a:endParaRPr>
        </a:p>
      </xdr:txBody>
    </xdr:sp>
    <xdr:clientData/>
  </xdr:oneCellAnchor>
  <xdr:oneCellAnchor>
    <xdr:from>
      <xdr:col>10</xdr:col>
      <xdr:colOff>498818</xdr:colOff>
      <xdr:row>27</xdr:row>
      <xdr:rowOff>0</xdr:rowOff>
    </xdr:from>
    <xdr:ext cx="1318259" cy="365760"/>
    <xdr:sp macro="" textlink="">
      <xdr:nvSpPr>
        <xdr:cNvPr id="77" name="TextBox 76">
          <a:extLst>
            <a:ext uri="{FF2B5EF4-FFF2-40B4-BE49-F238E27FC236}">
              <a16:creationId xmlns:a16="http://schemas.microsoft.com/office/drawing/2014/main" id="{1586FA9C-3BF8-48AE-AAE6-62B4BFE629C7}"/>
            </a:ext>
          </a:extLst>
        </xdr:cNvPr>
        <xdr:cNvSpPr txBox="1"/>
      </xdr:nvSpPr>
      <xdr:spPr>
        <a:xfrm>
          <a:off x="6409203" y="5021385"/>
          <a:ext cx="1318259"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rgbClr val="FF0000"/>
              </a:solidFill>
            </a:rPr>
            <a:t>DEPARTMENT</a:t>
          </a:r>
        </a:p>
      </xdr:txBody>
    </xdr:sp>
    <xdr:clientData/>
  </xdr:oneCellAnchor>
  <xdr:oneCellAnchor>
    <xdr:from>
      <xdr:col>17</xdr:col>
      <xdr:colOff>156308</xdr:colOff>
      <xdr:row>26</xdr:row>
      <xdr:rowOff>78153</xdr:rowOff>
    </xdr:from>
    <xdr:ext cx="2872153" cy="365760"/>
    <xdr:sp macro="" textlink="">
      <xdr:nvSpPr>
        <xdr:cNvPr id="78" name="TextBox 77">
          <a:extLst>
            <a:ext uri="{FF2B5EF4-FFF2-40B4-BE49-F238E27FC236}">
              <a16:creationId xmlns:a16="http://schemas.microsoft.com/office/drawing/2014/main" id="{6C89541A-2847-4D87-9F91-6E266D62DF66}"/>
            </a:ext>
          </a:extLst>
        </xdr:cNvPr>
        <xdr:cNvSpPr txBox="1"/>
      </xdr:nvSpPr>
      <xdr:spPr>
        <a:xfrm>
          <a:off x="10306539" y="4913922"/>
          <a:ext cx="2872153"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rgbClr val="FF0000"/>
              </a:solidFill>
            </a:rPr>
            <a:t>PATIENT</a:t>
          </a:r>
          <a:r>
            <a:rPr lang="en-IN" sz="1400" b="1" baseline="0">
              <a:solidFill>
                <a:srgbClr val="FF0000"/>
              </a:solidFill>
            </a:rPr>
            <a:t> GENDER</a:t>
          </a:r>
          <a:endParaRPr lang="en-IN" sz="1400" b="1">
            <a:solidFill>
              <a:srgbClr val="FF0000"/>
            </a:solidFill>
          </a:endParaRPr>
        </a:p>
      </xdr:txBody>
    </xdr:sp>
    <xdr:clientData/>
  </xdr:oneCellAnchor>
  <xdr:oneCellAnchor>
    <xdr:from>
      <xdr:col>25</xdr:col>
      <xdr:colOff>39077</xdr:colOff>
      <xdr:row>18</xdr:row>
      <xdr:rowOff>165043</xdr:rowOff>
    </xdr:from>
    <xdr:ext cx="1488587" cy="206188"/>
    <xdr:sp macro="" textlink="">
      <xdr:nvSpPr>
        <xdr:cNvPr id="79" name="TextBox 78">
          <a:extLst>
            <a:ext uri="{FF2B5EF4-FFF2-40B4-BE49-F238E27FC236}">
              <a16:creationId xmlns:a16="http://schemas.microsoft.com/office/drawing/2014/main" id="{1DFD6844-57ED-4916-8E7F-00888E31DA74}"/>
            </a:ext>
          </a:extLst>
        </xdr:cNvPr>
        <xdr:cNvSpPr txBox="1"/>
      </xdr:nvSpPr>
      <xdr:spPr>
        <a:xfrm>
          <a:off x="15034846" y="3515889"/>
          <a:ext cx="1488587" cy="20618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endParaRPr lang="en-IN" sz="1050" b="1" baseline="0"/>
        </a:p>
        <a:p>
          <a:endParaRPr lang="en-IN" sz="1400" b="1" baseline="0"/>
        </a:p>
        <a:p>
          <a:endParaRPr lang="en-IN" sz="1400" b="1" baseline="0"/>
        </a:p>
        <a:p>
          <a:endParaRPr lang="en-IN" sz="1400" b="1" baseline="0"/>
        </a:p>
        <a:p>
          <a:endParaRPr lang="en-IN" sz="1400" b="1" baseline="0"/>
        </a:p>
      </xdr:txBody>
    </xdr:sp>
    <xdr:clientData/>
  </xdr:oneCellAnchor>
  <xdr:oneCellAnchor>
    <xdr:from>
      <xdr:col>1</xdr:col>
      <xdr:colOff>390770</xdr:colOff>
      <xdr:row>9</xdr:row>
      <xdr:rowOff>0</xdr:rowOff>
    </xdr:from>
    <xdr:ext cx="1455615" cy="365760"/>
    <xdr:sp macro="" textlink="">
      <xdr:nvSpPr>
        <xdr:cNvPr id="80" name="TextBox 79">
          <a:extLst>
            <a:ext uri="{FF2B5EF4-FFF2-40B4-BE49-F238E27FC236}">
              <a16:creationId xmlns:a16="http://schemas.microsoft.com/office/drawing/2014/main" id="{CB040D77-17B6-4AF5-88B2-434779869982}"/>
            </a:ext>
          </a:extLst>
        </xdr:cNvPr>
        <xdr:cNvSpPr txBox="1"/>
      </xdr:nvSpPr>
      <xdr:spPr>
        <a:xfrm>
          <a:off x="996462" y="1680308"/>
          <a:ext cx="1455615" cy="3657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200" b="1">
              <a:solidFill>
                <a:schemeClr val="accent1"/>
              </a:solidFill>
            </a:rPr>
            <a:t>NO</a:t>
          </a:r>
          <a:r>
            <a:rPr lang="en-IN" sz="1200" b="1" baseline="0">
              <a:solidFill>
                <a:schemeClr val="accent1"/>
              </a:solidFill>
            </a:rPr>
            <a:t> OF PATIENTS:</a:t>
          </a:r>
          <a:endParaRPr lang="en-IN" sz="1200" b="1">
            <a:solidFill>
              <a:schemeClr val="accent1"/>
            </a:solidFill>
          </a:endParaRPr>
        </a:p>
      </xdr:txBody>
    </xdr:sp>
    <xdr:clientData/>
  </xdr:oneCellAnchor>
  <xdr:oneCellAnchor>
    <xdr:from>
      <xdr:col>5</xdr:col>
      <xdr:colOff>263769</xdr:colOff>
      <xdr:row>9</xdr:row>
      <xdr:rowOff>0</xdr:rowOff>
    </xdr:from>
    <xdr:ext cx="1542951" cy="371230"/>
    <xdr:sp macro="" textlink="">
      <xdr:nvSpPr>
        <xdr:cNvPr id="81" name="TextBox 80">
          <a:extLst>
            <a:ext uri="{FF2B5EF4-FFF2-40B4-BE49-F238E27FC236}">
              <a16:creationId xmlns:a16="http://schemas.microsoft.com/office/drawing/2014/main" id="{DAE52D54-AED1-422C-A6B4-F4B7E687B4E5}"/>
            </a:ext>
          </a:extLst>
        </xdr:cNvPr>
        <xdr:cNvSpPr txBox="1"/>
      </xdr:nvSpPr>
      <xdr:spPr>
        <a:xfrm>
          <a:off x="3292231" y="1680308"/>
          <a:ext cx="1542951" cy="371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b="1">
              <a:solidFill>
                <a:schemeClr val="accent6"/>
              </a:solidFill>
            </a:rPr>
            <a:t>AVERAGE WAIT</a:t>
          </a:r>
          <a:r>
            <a:rPr lang="en-IN" sz="1050" b="1" baseline="0">
              <a:solidFill>
                <a:schemeClr val="accent6"/>
              </a:solidFill>
            </a:rPr>
            <a:t> TIME:</a:t>
          </a:r>
          <a:endParaRPr lang="en-IN" sz="1050" b="1">
            <a:solidFill>
              <a:schemeClr val="accent6"/>
            </a:solidFill>
          </a:endParaRPr>
        </a:p>
      </xdr:txBody>
    </xdr:sp>
    <xdr:clientData/>
  </xdr:oneCellAnchor>
  <xdr:oneCellAnchor>
    <xdr:from>
      <xdr:col>9</xdr:col>
      <xdr:colOff>391357</xdr:colOff>
      <xdr:row>9</xdr:row>
      <xdr:rowOff>9769</xdr:rowOff>
    </xdr:from>
    <xdr:ext cx="1425720" cy="371230"/>
    <xdr:sp macro="" textlink="">
      <xdr:nvSpPr>
        <xdr:cNvPr id="82" name="TextBox 81">
          <a:extLst>
            <a:ext uri="{FF2B5EF4-FFF2-40B4-BE49-F238E27FC236}">
              <a16:creationId xmlns:a16="http://schemas.microsoft.com/office/drawing/2014/main" id="{6FCA1241-ED84-4F8D-AE15-53FB6CCA3719}"/>
            </a:ext>
          </a:extLst>
        </xdr:cNvPr>
        <xdr:cNvSpPr txBox="1"/>
      </xdr:nvSpPr>
      <xdr:spPr>
        <a:xfrm>
          <a:off x="5696049" y="1690077"/>
          <a:ext cx="1425720" cy="37123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050" b="1">
              <a:solidFill>
                <a:schemeClr val="accent2">
                  <a:lumMod val="75000"/>
                </a:schemeClr>
              </a:solidFill>
            </a:rPr>
            <a:t>SATISFACTION</a:t>
          </a:r>
          <a:r>
            <a:rPr lang="en-IN" sz="900" b="1">
              <a:solidFill>
                <a:schemeClr val="accent2">
                  <a:lumMod val="75000"/>
                </a:schemeClr>
              </a:solidFill>
            </a:rPr>
            <a:t> </a:t>
          </a:r>
          <a:r>
            <a:rPr lang="en-IN" sz="1050" b="1">
              <a:solidFill>
                <a:schemeClr val="accent2">
                  <a:lumMod val="75000"/>
                </a:schemeClr>
              </a:solidFill>
            </a:rPr>
            <a:t>SCORE</a:t>
          </a:r>
          <a:r>
            <a:rPr lang="en-IN" sz="1050" b="1" baseline="0">
              <a:solidFill>
                <a:schemeClr val="accent2">
                  <a:lumMod val="75000"/>
                </a:schemeClr>
              </a:solidFill>
            </a:rPr>
            <a:t>:</a:t>
          </a:r>
          <a:endParaRPr lang="en-IN" sz="900" b="1">
            <a:solidFill>
              <a:schemeClr val="accent2">
                <a:lumMod val="75000"/>
              </a:schemeClr>
            </a:solidFill>
          </a:endParaRPr>
        </a:p>
      </xdr:txBody>
    </xdr:sp>
    <xdr:clientData/>
  </xdr:oneCellAnchor>
  <xdr:oneCellAnchor>
    <xdr:from>
      <xdr:col>1</xdr:col>
      <xdr:colOff>0</xdr:colOff>
      <xdr:row>31</xdr:row>
      <xdr:rowOff>156307</xdr:rowOff>
    </xdr:from>
    <xdr:ext cx="1318259" cy="371231"/>
    <xdr:sp macro="" textlink="">
      <xdr:nvSpPr>
        <xdr:cNvPr id="83" name="TextBox 82">
          <a:extLst>
            <a:ext uri="{FF2B5EF4-FFF2-40B4-BE49-F238E27FC236}">
              <a16:creationId xmlns:a16="http://schemas.microsoft.com/office/drawing/2014/main" id="{54357779-89A2-4EC4-AF9F-9C7B200E0A44}"/>
            </a:ext>
          </a:extLst>
        </xdr:cNvPr>
        <xdr:cNvSpPr txBox="1"/>
      </xdr:nvSpPr>
      <xdr:spPr>
        <a:xfrm>
          <a:off x="605692" y="5920153"/>
          <a:ext cx="1318259" cy="371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rgbClr val="FF0000"/>
              </a:solidFill>
            </a:rPr>
            <a:t>AGE</a:t>
          </a:r>
        </a:p>
      </xdr:txBody>
    </xdr:sp>
    <xdr:clientData/>
  </xdr:oneCellAnchor>
  <xdr:oneCellAnchor>
    <xdr:from>
      <xdr:col>1</xdr:col>
      <xdr:colOff>0</xdr:colOff>
      <xdr:row>30</xdr:row>
      <xdr:rowOff>9770</xdr:rowOff>
    </xdr:from>
    <xdr:ext cx="1201028" cy="371231"/>
    <xdr:sp macro="" textlink="">
      <xdr:nvSpPr>
        <xdr:cNvPr id="84" name="TextBox 83">
          <a:extLst>
            <a:ext uri="{FF2B5EF4-FFF2-40B4-BE49-F238E27FC236}">
              <a16:creationId xmlns:a16="http://schemas.microsoft.com/office/drawing/2014/main" id="{0B495019-A89D-4BB6-BFEF-8E3BACF268A1}"/>
            </a:ext>
          </a:extLst>
        </xdr:cNvPr>
        <xdr:cNvSpPr txBox="1"/>
      </xdr:nvSpPr>
      <xdr:spPr>
        <a:xfrm>
          <a:off x="605692" y="5588001"/>
          <a:ext cx="1201028" cy="371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rgbClr val="FF0000"/>
              </a:solidFill>
            </a:rPr>
            <a:t>    PATIENT</a:t>
          </a:r>
        </a:p>
      </xdr:txBody>
    </xdr:sp>
    <xdr:clientData/>
  </xdr:oneCellAnchor>
  <xdr:oneCellAnchor>
    <xdr:from>
      <xdr:col>1</xdr:col>
      <xdr:colOff>0</xdr:colOff>
      <xdr:row>34</xdr:row>
      <xdr:rowOff>0</xdr:rowOff>
    </xdr:from>
    <xdr:ext cx="1318259" cy="371231"/>
    <xdr:sp macro="" textlink="">
      <xdr:nvSpPr>
        <xdr:cNvPr id="85" name="TextBox 84">
          <a:extLst>
            <a:ext uri="{FF2B5EF4-FFF2-40B4-BE49-F238E27FC236}">
              <a16:creationId xmlns:a16="http://schemas.microsoft.com/office/drawing/2014/main" id="{71E6A033-48D5-4F20-9C1A-0394F3AE34D4}"/>
            </a:ext>
          </a:extLst>
        </xdr:cNvPr>
        <xdr:cNvSpPr txBox="1"/>
      </xdr:nvSpPr>
      <xdr:spPr>
        <a:xfrm>
          <a:off x="605692" y="6320692"/>
          <a:ext cx="1318259" cy="3712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noAutofit/>
        </a:bodyPr>
        <a:lstStyle/>
        <a:p>
          <a:pPr algn="ctr"/>
          <a:r>
            <a:rPr lang="en-IN" sz="1400" b="1">
              <a:solidFill>
                <a:srgbClr val="FF0000"/>
              </a:solidFill>
            </a:rPr>
            <a:t>GROUP</a:t>
          </a:r>
        </a:p>
      </xdr:txBody>
    </xdr:sp>
    <xdr:clientData/>
  </xdr:oneCellAnchor>
  <xdr:twoCellAnchor editAs="oneCell">
    <xdr:from>
      <xdr:col>0</xdr:col>
      <xdr:colOff>488461</xdr:colOff>
      <xdr:row>8</xdr:row>
      <xdr:rowOff>146539</xdr:rowOff>
    </xdr:from>
    <xdr:to>
      <xdr:col>1</xdr:col>
      <xdr:colOff>446960</xdr:colOff>
      <xdr:row>11</xdr:row>
      <xdr:rowOff>146539</xdr:rowOff>
    </xdr:to>
    <xdr:pic>
      <xdr:nvPicPr>
        <xdr:cNvPr id="86" name="Picture 85">
          <a:extLst>
            <a:ext uri="{FF2B5EF4-FFF2-40B4-BE49-F238E27FC236}">
              <a16:creationId xmlns:a16="http://schemas.microsoft.com/office/drawing/2014/main" id="{24EF6714-6898-4145-A4EF-B53AD6B0B7C6}"/>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488461" y="1641231"/>
          <a:ext cx="564191" cy="556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8</xdr:col>
      <xdr:colOff>234461</xdr:colOff>
      <xdr:row>8</xdr:row>
      <xdr:rowOff>0</xdr:rowOff>
    </xdr:from>
    <xdr:to>
      <xdr:col>9</xdr:col>
      <xdr:colOff>475406</xdr:colOff>
      <xdr:row>12</xdr:row>
      <xdr:rowOff>0</xdr:rowOff>
    </xdr:to>
    <xdr:pic>
      <xdr:nvPicPr>
        <xdr:cNvPr id="88" name="Picture 87">
          <a:extLst>
            <a:ext uri="{FF2B5EF4-FFF2-40B4-BE49-F238E27FC236}">
              <a16:creationId xmlns:a16="http://schemas.microsoft.com/office/drawing/2014/main" id="{628D06C2-397C-4148-AD8D-DDD8B0296E56}"/>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4933461" y="1494692"/>
          <a:ext cx="846637" cy="742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333907</xdr:colOff>
      <xdr:row>9</xdr:row>
      <xdr:rowOff>0</xdr:rowOff>
    </xdr:from>
    <xdr:to>
      <xdr:col>5</xdr:col>
      <xdr:colOff>273538</xdr:colOff>
      <xdr:row>12</xdr:row>
      <xdr:rowOff>0</xdr:rowOff>
    </xdr:to>
    <xdr:pic>
      <xdr:nvPicPr>
        <xdr:cNvPr id="90" name="Picture 89">
          <a:extLst>
            <a:ext uri="{FF2B5EF4-FFF2-40B4-BE49-F238E27FC236}">
              <a16:creationId xmlns:a16="http://schemas.microsoft.com/office/drawing/2014/main" id="{D14BBA51-6B03-4BA3-9006-D95D8A82B448}"/>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2756676" y="1680308"/>
          <a:ext cx="545324" cy="55684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39076</xdr:colOff>
      <xdr:row>0</xdr:row>
      <xdr:rowOff>0</xdr:rowOff>
    </xdr:from>
    <xdr:to>
      <xdr:col>1</xdr:col>
      <xdr:colOff>508000</xdr:colOff>
      <xdr:row>3</xdr:row>
      <xdr:rowOff>156308</xdr:rowOff>
    </xdr:to>
    <xdr:pic>
      <xdr:nvPicPr>
        <xdr:cNvPr id="91" name="Picture 90">
          <a:extLst>
            <a:ext uri="{FF2B5EF4-FFF2-40B4-BE49-F238E27FC236}">
              <a16:creationId xmlns:a16="http://schemas.microsoft.com/office/drawing/2014/main" id="{3864CD7F-8E2A-44F7-B194-279273E42118}"/>
            </a:ext>
          </a:extLst>
        </xdr:cNvPr>
        <xdr:cNvPicPr>
          <a:picLocks noChangeAspect="1" noChangeArrowheads="1"/>
        </xdr:cNvPicPr>
      </xdr:nvPicPr>
      <xdr:blipFill>
        <a:blip xmlns:r="http://schemas.openxmlformats.org/officeDocument/2006/relationships" r:embed="rId12" cstate="print">
          <a:extLst>
            <a:ext uri="{28A0092B-C50C-407E-A947-70E740481C1C}">
              <a14:useLocalDpi xmlns:a14="http://schemas.microsoft.com/office/drawing/2010/main" val="0"/>
            </a:ext>
          </a:extLst>
        </a:blip>
        <a:srcRect/>
        <a:stretch>
          <a:fillRect/>
        </a:stretch>
      </xdr:blipFill>
      <xdr:spPr bwMode="auto">
        <a:xfrm>
          <a:off x="39076" y="0"/>
          <a:ext cx="1074616" cy="72292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6</xdr:col>
      <xdr:colOff>489856</xdr:colOff>
      <xdr:row>10</xdr:row>
      <xdr:rowOff>39409</xdr:rowOff>
    </xdr:from>
    <xdr:ext cx="735105" cy="320937"/>
    <xdr:sp macro="" textlink="'pivot table'!A15">
      <xdr:nvSpPr>
        <xdr:cNvPr id="50" name="TextBox 49">
          <a:extLst>
            <a:ext uri="{FF2B5EF4-FFF2-40B4-BE49-F238E27FC236}">
              <a16:creationId xmlns:a16="http://schemas.microsoft.com/office/drawing/2014/main" id="{264E6A89-8C50-438E-B31B-F1E953FFCD91}"/>
            </a:ext>
          </a:extLst>
        </xdr:cNvPr>
        <xdr:cNvSpPr txBox="1"/>
      </xdr:nvSpPr>
      <xdr:spPr>
        <a:xfrm>
          <a:off x="3995056" y="1900866"/>
          <a:ext cx="735105" cy="32093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800" b="1">
              <a:solidFill>
                <a:schemeClr val="accent6"/>
              </a:solidFill>
            </a:rPr>
            <a:t>Min</a:t>
          </a:r>
        </a:p>
      </xdr:txBody>
    </xdr:sp>
    <xdr:clientData/>
  </xdr:oneCellAnchor>
  <xdr:oneCellAnchor>
    <xdr:from>
      <xdr:col>10</xdr:col>
      <xdr:colOff>391884</xdr:colOff>
      <xdr:row>10</xdr:row>
      <xdr:rowOff>65314</xdr:rowOff>
    </xdr:from>
    <xdr:ext cx="685801" cy="293915"/>
    <xdr:sp macro="" textlink="'pivot table'!A15">
      <xdr:nvSpPr>
        <xdr:cNvPr id="52" name="TextBox 51">
          <a:extLst>
            <a:ext uri="{FF2B5EF4-FFF2-40B4-BE49-F238E27FC236}">
              <a16:creationId xmlns:a16="http://schemas.microsoft.com/office/drawing/2014/main" id="{3AA8EB87-73CA-425F-8DFF-B4BAB73D2308}"/>
            </a:ext>
          </a:extLst>
        </xdr:cNvPr>
        <xdr:cNvSpPr txBox="1"/>
      </xdr:nvSpPr>
      <xdr:spPr>
        <a:xfrm>
          <a:off x="6335484" y="1926771"/>
          <a:ext cx="685801" cy="293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IN" sz="1400" b="1">
              <a:solidFill>
                <a:schemeClr val="accent2"/>
              </a:solidFill>
            </a:rPr>
            <a:t>rating</a:t>
          </a:r>
        </a:p>
      </xdr:txBody>
    </xdr:sp>
    <xdr:clientData/>
  </xdr:one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01504629" createdVersion="5" refreshedVersion="7" minRefreshableVersion="3" recordCount="0" supportSubquery="1" supportAdvancedDrill="1" xr:uid="{D88F8264-63B3-4A7F-820B-165C7D4497AC}">
  <cacheSource type="external" connectionId="3"/>
  <cacheFields count="4">
    <cacheField name="[Calender_table].[Dates (Day)].[Dates (Day)]" caption="Dates (Day)" numFmtId="0" hierarchy="2" level="1">
      <sharedItems count="61">
        <s v="1-Jun"/>
        <s v="2-Jun"/>
        <s v="3-Jun"/>
        <s v="4-Jun"/>
        <s v="5-Jun"/>
        <s v="6-Jun"/>
        <s v="7-Jun"/>
        <s v="8-Jun"/>
        <s v="9-Jun"/>
        <s v="10-Jun"/>
        <s v="11-Jun"/>
        <s v="12-Jun"/>
        <s v="13-Jun"/>
        <s v="14-Jun"/>
        <s v="15-Jun"/>
        <s v="16-Jun"/>
        <s v="17-Jun"/>
        <s v="18-Jun"/>
        <s v="19-Jun"/>
        <s v="20-Jun"/>
        <s v="21-Jun"/>
        <s v="22-Jun"/>
        <s v="23-Jun"/>
        <s v="24-Jun"/>
        <s v="25-Jun"/>
        <s v="26-Jun"/>
        <s v="27-Jun"/>
        <s v="28-Jun"/>
        <s v="29-Jun"/>
        <s v="30-Jun"/>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haredItems>
    </cacheField>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Measures].[Average of Patient Waittime]" caption="Average of Patient Waittime" numFmtId="0" hierarchy="26" level="32767"/>
  </cacheFields>
  <cacheHierarchies count="35">
    <cacheHierarchy uniqueName="[Calender_table].[Dates]" caption="Dates" attribute="1" time="1" defaultMemberUniqueName="[Calender_table].[Dates].[All]" allUniqueName="[Calender_table].[Dates].[All]" dimensionUniqueName="[Calender_table]" displayFolder="" count="2"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2"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3"/>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06828702" createdVersion="5" refreshedVersion="7" minRefreshableVersion="3" recordCount="0" supportSubquery="1" supportAdvancedDrill="1" xr:uid="{89716848-2543-480D-825B-64C6BAC4CC92}">
  <cacheSource type="external" connectionId="3"/>
  <cacheFields count="3">
    <cacheField name="[Measures].[Distinct Count of Patient Id]" caption="Distinct Count of Patient Id" numFmtId="0" hierarchy="24"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11226851" createdVersion="5" refreshedVersion="7" minRefreshableVersion="3" recordCount="0" supportSubquery="1" supportAdvancedDrill="1" xr:uid="{348FE21B-72A8-4756-8674-F3711BD13C2C}">
  <cacheSource type="external" connectionId="3"/>
  <cacheFields count="3">
    <cacheField name="[Measures].[Average of Patient Waittime]" caption="Average of Patient Waittime" numFmtId="0" hierarchy="26"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15393515" createdVersion="5" refreshedVersion="7" minRefreshableVersion="3" recordCount="0" supportSubquery="1" supportAdvancedDrill="1" xr:uid="{EC3DD6AA-5E10-42FE-AFC1-76575F5E37C5}">
  <cacheSource type="external" connectionId="3"/>
  <cacheFields count="3">
    <cacheField name="[Measures].[Average of Patient Satisfaction Score]" caption="Average of Patient Satisfaction Score" numFmtId="0" hierarchy="28" level="32767"/>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1990741" createdVersion="5" refreshedVersion="7" minRefreshableVersion="3" recordCount="0" supportSubquery="1" supportAdvancedDrill="1" xr:uid="{4EC00FA8-A5BD-4282-B571-9D9F89A10DE2}">
  <cacheSource type="external" connectionId="3"/>
  <cacheFields count="4">
    <cacheField name="[Calender_table].[Dates (Day)].[Dates (Day)]" caption="Dates (Day)" numFmtId="0" hierarchy="2" level="1">
      <sharedItems count="61">
        <s v="1-Jun"/>
        <s v="2-Jun"/>
        <s v="3-Jun"/>
        <s v="4-Jun"/>
        <s v="5-Jun"/>
        <s v="6-Jun"/>
        <s v="7-Jun"/>
        <s v="8-Jun"/>
        <s v="9-Jun"/>
        <s v="10-Jun"/>
        <s v="11-Jun"/>
        <s v="12-Jun"/>
        <s v="13-Jun"/>
        <s v="14-Jun"/>
        <s v="15-Jun"/>
        <s v="16-Jun"/>
        <s v="17-Jun"/>
        <s v="18-Jun"/>
        <s v="19-Jun"/>
        <s v="20-Jun"/>
        <s v="21-Jun"/>
        <s v="22-Jun"/>
        <s v="23-Jun"/>
        <s v="24-Jun"/>
        <s v="25-Jun"/>
        <s v="26-Jun"/>
        <s v="27-Jun"/>
        <s v="28-Jun"/>
        <s v="29-Jun"/>
        <s v="30-Jun"/>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haredItems>
    </cacheField>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Measures].[Distinct Count of Patient Id]" caption="Distinct Count of Patient Id" numFmtId="0" hierarchy="24" level="32767"/>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3"/>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24537037" createdVersion="5" refreshedVersion="7" minRefreshableVersion="3" recordCount="0" supportSubquery="1" supportAdvancedDrill="1" xr:uid="{2795764E-E3F4-445D-863E-F8C83AA8191A}">
  <cacheSource type="external" connectionId="3"/>
  <cacheFields count="4">
    <cacheField name="[Calender_table].[Dates (Day)].[Dates (Day)]" caption="Dates (Day)" numFmtId="0" hierarchy="2" level="1">
      <sharedItems count="61">
        <s v="1-Jun"/>
        <s v="2-Jun"/>
        <s v="3-Jun"/>
        <s v="4-Jun"/>
        <s v="5-Jun"/>
        <s v="6-Jun"/>
        <s v="7-Jun"/>
        <s v="8-Jun"/>
        <s v="9-Jun"/>
        <s v="10-Jun"/>
        <s v="11-Jun"/>
        <s v="12-Jun"/>
        <s v="13-Jun"/>
        <s v="14-Jun"/>
        <s v="15-Jun"/>
        <s v="16-Jun"/>
        <s v="17-Jun"/>
        <s v="18-Jun"/>
        <s v="19-Jun"/>
        <s v="20-Jun"/>
        <s v="21-Jun"/>
        <s v="22-Jun"/>
        <s v="23-Jun"/>
        <s v="24-Jun"/>
        <s v="25-Jun"/>
        <s v="26-Jun"/>
        <s v="27-Jun"/>
        <s v="28-Jun"/>
        <s v="29-Jun"/>
        <s v="30-Jun"/>
        <s v="1-Jul" u="1"/>
        <s v="2-Jul" u="1"/>
        <s v="3-Jul" u="1"/>
        <s v="4-Jul" u="1"/>
        <s v="5-Jul" u="1"/>
        <s v="6-Jul" u="1"/>
        <s v="7-Jul" u="1"/>
        <s v="8-Jul" u="1"/>
        <s v="9-Jul" u="1"/>
        <s v="10-Jul" u="1"/>
        <s v="11-Jul" u="1"/>
        <s v="12-Jul" u="1"/>
        <s v="13-Jul" u="1"/>
        <s v="14-Jul" u="1"/>
        <s v="15-Jul" u="1"/>
        <s v="16-Jul" u="1"/>
        <s v="17-Jul" u="1"/>
        <s v="18-Jul" u="1"/>
        <s v="19-Jul" u="1"/>
        <s v="20-Jul" u="1"/>
        <s v="21-Jul" u="1"/>
        <s v="22-Jul" u="1"/>
        <s v="23-Jul" u="1"/>
        <s v="24-Jul" u="1"/>
        <s v="25-Jul" u="1"/>
        <s v="26-Jul" u="1"/>
        <s v="27-Jul" u="1"/>
        <s v="28-Jul" u="1"/>
        <s v="29-Jul" u="1"/>
        <s v="30-Jul" u="1"/>
        <s v="31-Jul" u="1"/>
      </sharedItems>
    </cacheField>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Measures].[Average of Patient Satisfaction Score]" caption="Average of Patient Satisfaction Score" numFmtId="0" hierarchy="28" level="32767"/>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1"/>
      </fieldsUsage>
    </cacheHierarchy>
    <cacheHierarchy uniqueName="[Calender_table].[Dates (Day)]" caption="Dates (Day)" attribute="1" defaultMemberUniqueName="[Calender_table].[Dates (Day)].[All]" allUniqueName="[Calender_table].[Dates (Day)].[All]" dimensionUniqueName="[Calender_table]" displayFolder="" count="2" memberValueDatatype="130" unbalanced="0">
      <fieldsUsage count="2">
        <fieldUsage x="-1"/>
        <fieldUsage x="0"/>
      </fieldsUsage>
    </cacheHierarchy>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2"/>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3"/>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29282409" createdVersion="5" refreshedVersion="7" minRefreshableVersion="3" recordCount="0" supportSubquery="1" supportAdvancedDrill="1" xr:uid="{E768C79F-3DF2-446E-82F5-A4AA642454F9}">
  <cacheSource type="external" connectionId="3"/>
  <cacheFields count="5">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admitted"/>
      </sharedItems>
    </cacheField>
    <cacheField name="Dummy0" numFmtId="0" hierarchy="35" level="32767">
      <extLst>
        <ext xmlns:x14="http://schemas.microsoft.com/office/spreadsheetml/2009/9/main" uri="{63CAB8AC-B538-458d-9737-405883B0398D}">
          <x14:cacheField ignore="1"/>
        </ext>
      </extLst>
    </cacheField>
  </cacheFields>
  <cacheHierarchies count="36">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3"/>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2"/>
      </fieldsUsage>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Dummy0" caption="Dates" measure="1" count="0">
      <extLst>
        <ext xmlns:x14="http://schemas.microsoft.com/office/spreadsheetml/2009/9/main" uri="{8CF416AD-EC4C-4aba-99F5-12A058AE0983}">
          <x14:cacheHierarchy ignore="1"/>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33912035" createdVersion="5" refreshedVersion="7" minRefreshableVersion="3" recordCount="0" supportSubquery="1" supportAdvancedDrill="1" xr:uid="{2B585601-DEF0-482D-85DB-FDFEEC8BA572}">
  <cacheSource type="external" connectionId="3"/>
  <cacheFields count="4">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0" level="32767"/>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oneField="1" hidden="1">
      <fieldsUsage count="1">
        <fieldUsage x="3"/>
      </fieldsUsage>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38425923" createdVersion="5" refreshedVersion="7" minRefreshableVersion="3" recordCount="0" supportSubquery="1" supportAdvancedDrill="1" xr:uid="{C5485D5C-BFF6-423B-9B3A-25DAD4BE8353}">
  <cacheSource type="external" connectionId="3"/>
  <cacheFields count="4">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42939818" createdVersion="5" refreshedVersion="7" minRefreshableVersion="3" recordCount="0" supportSubquery="1" supportAdvancedDrill="1" xr:uid="{AEEBD109-C896-48A5-B236-9690AEC55494}">
  <cacheSource type="external" connectionId="3"/>
  <cacheFields count="3">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unt="1">
        <s v="2024"/>
      </sharedItems>
    </cacheField>
    <cacheField name="[Measures].[Count of Calculated Column 1]" caption="Count of Calculated Column 1" numFmtId="0" hierarchy="33" level="32767"/>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47453706" createdVersion="5" refreshedVersion="7" minRefreshableVersion="3" recordCount="0" supportSubquery="1" supportAdvancedDrill="1" xr:uid="{A7E6EFF5-8191-432B-B760-E533F1E51553}">
  <cacheSource type="external" connectionId="3"/>
  <cacheFields count="5">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Age Group]" caption="Count of Patient Age Group" numFmtId="0" hierarchy="34" level="32767"/>
    <cacheField name="[Hospital Emergency Room Data].[Patient Age Group].[Patient Age Group]" caption="Patient Age Group" numFmtId="0" hierarchy="16" level="1">
      <sharedItems count="8">
        <s v="0-9"/>
        <s v="10-19"/>
        <s v="20-29"/>
        <s v="30-39"/>
        <s v="40-49"/>
        <s v="50-59"/>
        <s v="60-69"/>
        <s v="70-79"/>
      </sharedItems>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2" memberValueDatatype="130" unbalanced="0">
      <fieldsUsage count="2">
        <fieldUsage x="-1"/>
        <fieldUsage x="4"/>
      </fieldsUsage>
    </cacheHierarchy>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oneField="1" hidden="1">
      <fieldsUsage count="1">
        <fieldUsage x="3"/>
      </fieldsUsage>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51967593" createdVersion="5" refreshedVersion="7" minRefreshableVersion="3" recordCount="0" supportSubquery="1" supportAdvancedDrill="1" xr:uid="{AC3D3656-5CBF-4073-A7B6-BFEF3BCA4991}">
  <cacheSource type="external" connectionId="3"/>
  <cacheFields count="5">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Calculated Column 1]" caption="Count of Calculated Column 1" numFmtId="0" hierarchy="33" level="32767"/>
    <cacheField name="[Hospital Emergency Room Data].[Calculated Column 1].[Calculated Column 1]" caption="Calculated Column 1" numFmtId="0" hierarchy="17" level="1">
      <sharedItems count="2">
        <s v="Delay"/>
        <s v="Ontime"/>
      </sharedItems>
    </cacheField>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2"/>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2" memberValueDatatype="130" unbalanced="0">
      <fieldsUsage count="2">
        <fieldUsage x="-1"/>
        <fieldUsage x="4"/>
      </fieldsUsage>
    </cacheHierarchy>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oneField="1" hidden="1">
      <fieldsUsage count="1">
        <fieldUsage x="3"/>
      </fieldsUsage>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65.863356365742" createdVersion="5" refreshedVersion="7" minRefreshableVersion="3" recordCount="0" supportSubquery="1" supportAdvancedDrill="1" xr:uid="{99EFFBD9-C141-440B-8DD6-42E76FC63026}">
  <cacheSource type="external" connectionId="3"/>
  <cacheFields count="4">
    <cacheField name="[Calender_table].[Dates (Month)].[Dates (Month)]" caption="Dates (Month)" numFmtId="0" hierarchy="1" level="1">
      <sharedItems containsSemiMixedTypes="0" containsNonDate="0" containsString="0"/>
    </cacheField>
    <cacheField name="[Calender_table].[Dates (Year)].[Dates (Year)]" caption="Dates (Year)" numFmtId="0" hierarchy="3"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s>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fieldsUsage count="2">
        <fieldUsage x="-1"/>
        <fieldUsage x="0"/>
      </fieldsUsage>
    </cacheHierarchy>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fieldsUsage count="2">
        <fieldUsage x="-1"/>
        <fieldUsage x="1"/>
      </fieldsUsage>
    </cacheHierarchy>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oneField="1" hidden="1">
      <fieldsUsage count="1">
        <fieldUsage x="3"/>
      </fieldsUsage>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dimensions count="3">
    <dimension name="Calender_table" uniqueName="[Calender_table]" caption="Calender_table"/>
    <dimension name="Hospital Emergency Room Data" uniqueName="[Hospital Emergency Room Data]" caption="Hospital Emergency Room Data"/>
    <dimension measure="1" name="Measures" uniqueName="[Measures]" caption="Measures"/>
  </dimensions>
  <measureGroups count="2">
    <measureGroup name="Calender_table" caption="Calende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38.974305787036" createdVersion="3" refreshedVersion="7" minRefreshableVersion="3" recordCount="0" supportSubquery="1" supportAdvancedDrill="1" xr:uid="{7D0727A6-3397-443F-AF5C-84E741467F19}">
  <cacheSource type="external" connectionId="3">
    <extLst>
      <ext xmlns:x14="http://schemas.microsoft.com/office/spreadsheetml/2009/9/main" uri="{F057638F-6D5F-4e77-A914-E7F072B9BCA8}">
        <x14:sourceConnection name="ThisWorkbookDataModel"/>
      </ext>
    </extLst>
  </cacheSource>
  <cacheFields count="0"/>
  <cacheHierarchies count="35">
    <cacheHierarchy uniqueName="[Calender_table].[Dates]" caption="Dates" attribute="1" time="1" defaultMemberUniqueName="[Calender_table].[Dates].[All]" allUniqueName="[Calender_table].[Dates].[All]" dimensionUniqueName="[Calender_table]" displayFolder="" count="0" memberValueDatatype="7" unbalanced="0"/>
    <cacheHierarchy uniqueName="[Calender_table].[Dates (Month)]" caption="Dates (Month)" attribute="1" defaultMemberUniqueName="[Calender_table].[Dates (Month)].[All]" allUniqueName="[Calender_table].[Dates (Month)].[All]" dimensionUniqueName="[Calender_table]" displayFolder="" count="2" memberValueDatatype="130" unbalanced="0"/>
    <cacheHierarchy uniqueName="[Calender_table].[Dates (Day)]" caption="Dates (Day)" attribute="1" defaultMemberUniqueName="[Calender_table].[Dates (Day)].[All]" allUniqueName="[Calender_table].[Dates (Day)].[All]" dimensionUniqueName="[Calender_table]" displayFolder="" count="0" memberValueDatatype="130" unbalanced="0"/>
    <cacheHierarchy uniqueName="[Calender_table].[Dates (Year)]" caption="Dates (Year)" attribute="1" defaultMemberUniqueName="[Calender_table].[Dates (Year)].[All]" allUniqueName="[Calender_table].[Dates (Year)].[All]" dimensionUniqueName="[Calender_table]" displayFolder="" count="2" memberValueDatatype="130" unbalanced="0"/>
    <cacheHierarchy uniqueName="[Calender_table].[Dates (Quarter)]" caption="Dates (Quarter)" attribute="1" defaultMemberUniqueName="[Calender_table].[Dates (Quarter)].[All]" allUniqueName="[Calender_table].[Dates (Quarter)].[All]" dimensionUniqueName="[Calende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FullName]" caption="FullName" attribute="1" defaultMemberUniqueName="[Hospital Emergency Room Data].[FullName].[All]" allUniqueName="[Hospital Emergency Room Data].[FullName].[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Patient Age Group]" caption="Patient Age Group" attribute="1" defaultMemberUniqueName="[Hospital Emergency Room Data].[Patient Age Group].[All]" allUniqueName="[Hospital Emergency Room Data].[Patient Age Group].[All]" dimensionUniqueName="[Hospital Emergency Room Data]" displayFolder="" count="0" memberValueDatatype="130" unbalanced="0"/>
    <cacheHierarchy uniqueName="[Hospital Emergency Room Data].[Calculated Column 1]" caption="Calculated Column 1" attribute="1" defaultMemberUniqueName="[Hospital Emergency Room Data].[Calculated Column 1].[All]" allUniqueName="[Hospital Emergency Room Data].[Calculated Column 1].[All]" dimensionUniqueName="[Hospital Emergency Room Data]" displayFolder="" count="0" memberValueDatatype="130" unbalanced="0"/>
    <cacheHierarchy uniqueName="[Calender_table].[Dates (Day Index)]" caption="Dates (Day Index)" attribute="1" defaultMemberUniqueName="[Calender_table].[Dates (Day Index)].[All]" allUniqueName="[Calender_table].[Dates (Day Index)].[All]" dimensionUniqueName="[Calender_table]" displayFolder="" count="0" memberValueDatatype="5" unbalanced="0" hidden="1"/>
    <cacheHierarchy uniqueName="[Calender_table].[Dates (Month Index)]" caption="Dates (Month Index)" attribute="1" defaultMemberUniqueName="[Calender_table].[Dates (Month Index)].[All]" allUniqueName="[Calender_table].[Dates (Month Index)].[All]" dimensionUniqueName="[Calende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er_table]" caption="__XL_Count Calender_table" measure="1" displayFolder="" measureGroup="Calende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Distinct Count of Department Referral]" caption="Distinct 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Calculated Column 1]" caption="Count of Calculated Column 1"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Age Group]" caption="Count of Patient Age Group" measure="1" displayFolder="" measureGroup="Hospital Emergency Room Data"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249165126"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12A8701-AB9F-4583-8378-075D84B0C0F3}" name="PivotTable5" cacheId="12" applyNumberFormats="0" applyBorderFormats="0" applyFontFormats="0" applyPatternFormats="0" applyAlignmentFormats="0" applyWidthHeightFormats="1" dataCaption="Values" tag="9d267748-2e71-4721-99cc-b80d5fd8cd05" updatedVersion="7" minRefreshableVersion="3" subtotalHiddenItems="1" itemPrintTitles="1" createdVersion="5" indent="0" outline="1" outlineData="1" multipleFieldFilters="0" chartFormat="10">
  <location ref="E52:F55"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Gender" fld="3" subtotal="count" baseField="0" baseItem="0"/>
  </dataFields>
  <formats count="1">
    <format dxfId="0">
      <pivotArea outline="0" collapsedLevelsAreSubtotals="1" fieldPosition="0"/>
    </format>
  </formats>
  <chartFormats count="3">
    <chartFormat chart="8" format="4" series="1">
      <pivotArea type="data" outline="0" fieldPosition="0">
        <references count="1">
          <reference field="4294967294" count="1" selected="0">
            <x v="0"/>
          </reference>
        </references>
      </pivotArea>
    </chartFormat>
    <chartFormat chart="8" format="5">
      <pivotArea type="data" outline="0" fieldPosition="0">
        <references count="2">
          <reference field="4294967294" count="1" selected="0">
            <x v="0"/>
          </reference>
          <reference field="2" count="1" selected="0">
            <x v="0"/>
          </reference>
        </references>
      </pivotArea>
    </chartFormat>
    <chartFormat chart="8"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7E68783-7059-4CD7-A702-4273F5F519CC}" name="PivotTable11" cacheId="9" applyNumberFormats="0" applyBorderFormats="0" applyFontFormats="0" applyPatternFormats="0" applyAlignmentFormats="0" applyWidthHeightFormats="1" dataCaption="Values" tag="9d267748-2e71-4721-99cc-b80d5fd8cd05" updatedVersion="7" minRefreshableVersion="3" showDrill="0" subtotalHiddenItems="1" itemPrintTitles="1" createdVersion="5" indent="0" outline="1" outlineData="1" multipleFieldFilters="0">
  <location ref="A61:B63" firstHeaderRow="1" firstDataRow="1" firstDataCol="1"/>
  <pivotFields count="3">
    <pivotField allDrilled="1" subtotalTop="0" showAll="0" dataSourceSort="1" defaultSubtotal="0" defaultAttributeDrillState="1"/>
    <pivotField axis="axisRow" allDrilled="1" subtotalTop="0" showAll="0" dataSourceSort="1" defaultSubtotal="0" defaultAttributeDrillState="1">
      <items count="1">
        <item s="1" x="0"/>
      </items>
    </pivotField>
    <pivotField dataField="1" subtotalTop="0" showAll="0" defaultSubtotal="0"/>
  </pivotFields>
  <rowFields count="1">
    <field x="1"/>
  </rowFields>
  <rowItems count="2">
    <i>
      <x/>
    </i>
    <i t="grand">
      <x/>
    </i>
  </rowItems>
  <colItems count="1">
    <i/>
  </colItems>
  <dataFields count="1">
    <dataField name="Count of Calculated Column 1" fld="2" subtotal="count" baseField="0" baseItem="0"/>
  </dataFields>
  <formats count="1">
    <format dxfId="1">
      <pivotArea outline="0" collapsedLevelsAreSubtotals="1" fieldPosition="0"/>
    </format>
  </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845ABB7-8657-4EA1-930A-F11EADC53484}" name="PivotTable12" cacheId="10" applyNumberFormats="0" applyBorderFormats="0" applyFontFormats="0" applyPatternFormats="0" applyAlignmentFormats="0" applyWidthHeightFormats="1" dataCaption="Values" tag="9d267748-2e71-4721-99cc-b80d5fd8cd05" updatedVersion="7" minRefreshableVersion="3" subtotalHiddenItems="1" itemPrintTitles="1" createdVersion="5" indent="0" outline="1" outlineData="1" multipleFieldFilters="0" chartFormat="26">
  <location ref="A66:B75"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llDrilled="1" subtotalTop="0" showAll="0" sortType="ascending"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s>
  <rowFields count="1">
    <field x="4"/>
  </rowFields>
  <rowItems count="9">
    <i>
      <x/>
    </i>
    <i>
      <x v="1"/>
    </i>
    <i>
      <x v="2"/>
    </i>
    <i>
      <x v="3"/>
    </i>
    <i>
      <x v="4"/>
    </i>
    <i>
      <x v="5"/>
    </i>
    <i>
      <x v="6"/>
    </i>
    <i>
      <x v="7"/>
    </i>
    <i t="grand">
      <x/>
    </i>
  </rowItems>
  <colItems count="1">
    <i/>
  </colItems>
  <dataFields count="1">
    <dataField name="Count of Patient Age Group" fld="3" subtotal="count" baseField="0" baseItem="0"/>
  </dataFields>
  <formats count="1">
    <format dxfId="2">
      <pivotArea outline="0" collapsedLevelsAreSubtotals="1" fieldPosition="0"/>
    </format>
  </formats>
  <chartFormats count="12">
    <chartFormat chart="12" format="0" series="1">
      <pivotArea type="data" outline="0" fieldPosition="0">
        <references count="1">
          <reference field="4294967294" count="1" selected="0">
            <x v="0"/>
          </reference>
        </references>
      </pivotArea>
    </chartFormat>
    <chartFormat chart="14" format="10" series="1">
      <pivotArea type="data" outline="0" fieldPosition="0">
        <references count="1">
          <reference field="4294967294" count="1" selected="0">
            <x v="0"/>
          </reference>
        </references>
      </pivotArea>
    </chartFormat>
    <chartFormat chart="14" format="11">
      <pivotArea type="data" outline="0" fieldPosition="0">
        <references count="2">
          <reference field="4294967294" count="1" selected="0">
            <x v="0"/>
          </reference>
          <reference field="4" count="1" selected="0">
            <x v="0"/>
          </reference>
        </references>
      </pivotArea>
    </chartFormat>
    <chartFormat chart="14" format="12">
      <pivotArea type="data" outline="0" fieldPosition="0">
        <references count="2">
          <reference field="4294967294" count="1" selected="0">
            <x v="0"/>
          </reference>
          <reference field="4" count="1" selected="0">
            <x v="1"/>
          </reference>
        </references>
      </pivotArea>
    </chartFormat>
    <chartFormat chart="14" format="13">
      <pivotArea type="data" outline="0" fieldPosition="0">
        <references count="2">
          <reference field="4294967294" count="1" selected="0">
            <x v="0"/>
          </reference>
          <reference field="4" count="1" selected="0">
            <x v="2"/>
          </reference>
        </references>
      </pivotArea>
    </chartFormat>
    <chartFormat chart="14" format="14">
      <pivotArea type="data" outline="0" fieldPosition="0">
        <references count="2">
          <reference field="4294967294" count="1" selected="0">
            <x v="0"/>
          </reference>
          <reference field="4" count="1" selected="0">
            <x v="3"/>
          </reference>
        </references>
      </pivotArea>
    </chartFormat>
    <chartFormat chart="14" format="15">
      <pivotArea type="data" outline="0" fieldPosition="0">
        <references count="2">
          <reference field="4294967294" count="1" selected="0">
            <x v="0"/>
          </reference>
          <reference field="4" count="1" selected="0">
            <x v="4"/>
          </reference>
        </references>
      </pivotArea>
    </chartFormat>
    <chartFormat chart="14" format="16">
      <pivotArea type="data" outline="0" fieldPosition="0">
        <references count="2">
          <reference field="4294967294" count="1" selected="0">
            <x v="0"/>
          </reference>
          <reference field="4" count="1" selected="0">
            <x v="5"/>
          </reference>
        </references>
      </pivotArea>
    </chartFormat>
    <chartFormat chart="14" format="17">
      <pivotArea type="data" outline="0" fieldPosition="0">
        <references count="2">
          <reference field="4294967294" count="1" selected="0">
            <x v="0"/>
          </reference>
          <reference field="4" count="1" selected="0">
            <x v="6"/>
          </reference>
        </references>
      </pivotArea>
    </chartFormat>
    <chartFormat chart="14" format="18">
      <pivotArea type="data" outline="0" fieldPosition="0">
        <references count="2">
          <reference field="4294967294" count="1" selected="0">
            <x v="0"/>
          </reference>
          <reference field="4" count="1" selected="0">
            <x v="7"/>
          </reference>
        </references>
      </pivotArea>
    </chartFormat>
    <chartFormat chart="16"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Count of Department Referral"/>
    <pivotHierarchy dragToData="1" caption="Distinct Count of Department Referra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891A39D3-F5DA-46FA-846A-E86F12E20248}" name="PivotTable13" cacheId="11" applyNumberFormats="0" applyBorderFormats="0" applyFontFormats="0" applyPatternFormats="0" applyAlignmentFormats="0" applyWidthHeightFormats="1" dataCaption="Values" tag="9d267748-2e71-4721-99cc-b80d5fd8cd05" updatedVersion="7" minRefreshableVersion="3" subtotalHiddenItems="1" itemPrintTitles="1" createdVersion="5" indent="0" outline="1" outlineData="1" multipleFieldFilters="0" chartFormat="26">
  <location ref="A77:B80" firstHeaderRow="1" firstDataRow="1" firstDataCol="1"/>
  <pivotFields count="5">
    <pivotField allDrilled="1" subtotalTop="0" showAll="0" dataSourceSort="1" defaultSubtotal="0" defaultAttributeDrillState="1"/>
    <pivotField allDrilled="1" subtotalTop="0" showAll="0" dataSourceSort="1" defaultSubtotal="0" defaultAttributeDrillState="1"/>
    <pivotField allDrilled="1" subtotalTop="0" showAll="0" sortType="ascending" defaultSubtotal="0" defaultAttributeDrillState="1">
      <items count="8">
        <item x="0"/>
        <item x="1"/>
        <item x="2"/>
        <item x="3"/>
        <item x="4"/>
        <item x="5"/>
        <item x="6"/>
        <item x="7"/>
      </items>
    </pivotField>
    <pivotField dataField="1" subtotalTop="0" showAll="0" defaultSubtotal="0"/>
    <pivotField axis="axisRow" allDrilled="1" subtotalTop="0" showAll="0" dataSourceSort="1" defaultSubtotal="0" defaultAttributeDrillState="1">
      <items count="2">
        <item x="0"/>
        <item x="1"/>
      </items>
    </pivotField>
  </pivotFields>
  <rowFields count="1">
    <field x="4"/>
  </rowFields>
  <rowItems count="3">
    <i>
      <x/>
    </i>
    <i>
      <x v="1"/>
    </i>
    <i t="grand">
      <x/>
    </i>
  </rowItems>
  <colItems count="1">
    <i/>
  </colItems>
  <dataFields count="1">
    <dataField name="ATTEND STATUS" fld="3" subtotal="count" baseField="4" baseItem="0"/>
  </dataFields>
  <formats count="1">
    <format dxfId="3">
      <pivotArea outline="0" collapsedLevelsAreSubtotals="1" fieldPosition="0"/>
    </format>
  </formats>
  <chartFormats count="6">
    <chartFormat chart="19" format="0" series="1">
      <pivotArea type="data" outline="0" fieldPosition="0">
        <references count="1">
          <reference field="4294967294" count="1" selected="0">
            <x v="0"/>
          </reference>
        </references>
      </pivotArea>
    </chartFormat>
    <chartFormat chart="19" format="1">
      <pivotArea type="data" outline="0" fieldPosition="0">
        <references count="2">
          <reference field="4294967294" count="1" selected="0">
            <x v="0"/>
          </reference>
          <reference field="4" count="1" selected="0">
            <x v="1"/>
          </reference>
        </references>
      </pivotArea>
    </chartFormat>
    <chartFormat chart="19" format="2">
      <pivotArea type="data" outline="0" fieldPosition="0">
        <references count="2">
          <reference field="4294967294" count="1" selected="0">
            <x v="0"/>
          </reference>
          <reference field="4" count="1" selected="0">
            <x v="0"/>
          </reference>
        </references>
      </pivotArea>
    </chartFormat>
    <chartFormat chart="24" format="4" series="1">
      <pivotArea type="data" outline="0" fieldPosition="0">
        <references count="1">
          <reference field="4294967294" count="1" selected="0">
            <x v="0"/>
          </reference>
        </references>
      </pivotArea>
    </chartFormat>
    <chartFormat chart="24" format="5">
      <pivotArea type="data" outline="0" fieldPosition="0">
        <references count="2">
          <reference field="4294967294" count="1" selected="0">
            <x v="0"/>
          </reference>
          <reference field="4" count="1" selected="0">
            <x v="0"/>
          </reference>
        </references>
      </pivotArea>
    </chartFormat>
    <chartFormat chart="24" format="6">
      <pivotArea type="data" outline="0" fieldPosition="0">
        <references count="2">
          <reference field="4294967294" count="1" selected="0">
            <x v="0"/>
          </reference>
          <reference field="4" count="1" selected="0">
            <x v="1"/>
          </reference>
        </references>
      </pivotArea>
    </chartFormat>
  </chart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Count of Department Referral"/>
    <pivotHierarchy dragToData="1" caption="Distinct Count of Department Referral"/>
    <pivotHierarchy dragToData="1"/>
    <pivotHierarchy dragToData="1" caption="ATTEND STATUS"/>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CBF28BE-90FE-4031-B684-124AC068E31D}" name="PivotTable2" cacheId="2" applyNumberFormats="0" applyBorderFormats="0" applyFontFormats="0" applyPatternFormats="0" applyAlignmentFormats="0" applyWidthHeightFormats="1" dataCaption="Values" tag="bd12ee25-b182-43a0-bf78-37507390bf10" updatedVersion="7"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4">
    <format dxfId="7">
      <pivotArea outline="0" collapsedLevelsAreSubtotals="1" fieldPosition="0"/>
    </format>
    <format dxfId="6">
      <pivotArea type="all" dataOnly="0" outline="0" fieldPosition="0"/>
    </format>
    <format dxfId="5">
      <pivotArea outline="0" collapsedLevelsAreSubtotals="1" fieldPosition="0"/>
    </format>
    <format dxfId="4">
      <pivotArea dataOnly="0" labelOnly="1" outline="0" axis="axisValues" fieldPosition="0"/>
    </format>
  </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26F9E50-20A1-4865-8584-8FA36B527B2B}" name="PivotTable7" cacheId="8" applyNumberFormats="0" applyBorderFormats="0" applyFontFormats="0" applyPatternFormats="0" applyAlignmentFormats="0" applyWidthHeightFormats="1" dataCaption="Values" tag="9d267748-2e71-4721-99cc-b80d5fd8cd05" updatedVersion="7" minRefreshableVersion="3" subtotalHiddenItems="1" itemPrintTitles="1" createdVersion="5" indent="0" outline="1" outlineData="1" multipleFieldFilters="0" chartFormat="16">
  <location ref="A54:B57"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defaultSubtotal="0" defaultAttributeDrillState="1">
      <items count="2">
        <item x="0"/>
        <item x="1"/>
      </items>
    </pivotField>
    <pivotField dataField="1" subtotalTop="0" showAll="0" defaultSubtotal="0"/>
  </pivotFields>
  <rowFields count="1">
    <field x="2"/>
  </rowFields>
  <rowItems count="3">
    <i>
      <x/>
    </i>
    <i>
      <x v="1"/>
    </i>
    <i t="grand">
      <x/>
    </i>
  </rowItems>
  <colItems count="1">
    <i/>
  </colItems>
  <dataFields count="1">
    <dataField name="Count of Patient Gender" fld="3" subtotal="count" baseField="0" baseItem="0"/>
  </dataFields>
  <formats count="1">
    <format dxfId="8">
      <pivotArea outline="0" collapsedLevelsAreSubtotals="1" fieldPosition="0"/>
    </format>
  </formats>
  <chartFormats count="3">
    <chartFormat chart="15" format="4" series="1">
      <pivotArea type="data" outline="0" fieldPosition="0">
        <references count="1">
          <reference field="4294967294" count="1" selected="0">
            <x v="0"/>
          </reference>
        </references>
      </pivotArea>
    </chartFormat>
    <chartFormat chart="15" format="5">
      <pivotArea type="data" outline="0" fieldPosition="0">
        <references count="2">
          <reference field="4294967294" count="1" selected="0">
            <x v="0"/>
          </reference>
          <reference field="2" count="1" selected="0">
            <x v="0"/>
          </reference>
        </references>
      </pivotArea>
    </chartFormat>
    <chartFormat chart="15" format="6">
      <pivotArea type="data" outline="0" fieldPosition="0">
        <references count="2">
          <reference field="4294967294" count="1" selected="0">
            <x v="0"/>
          </reference>
          <reference field="2" count="1" selected="0">
            <x v="1"/>
          </reference>
        </references>
      </pivotArea>
    </chartFormat>
  </chart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5C75252-CD80-4C9C-A3FF-540FE4EC7CB1}" name="PivotTable1" cacheId="1" applyNumberFormats="0" applyBorderFormats="0" applyFontFormats="0" applyPatternFormats="0" applyAlignmentFormats="0" applyWidthHeightFormats="1" dataCaption="Values" tag="9d267748-2e71-4721-99cc-b80d5fd8cd05" updatedVersion="7" minRefreshableVersion="3" subtotalHiddenItems="1" itemPrintTitles="1" createdVersion="5" indent="0" outline="1" outlineData="1" multipleFieldFilters="0">
  <location ref="A10:A1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formats count="1">
    <format dxfId="9">
      <pivotArea outline="0" collapsedLevelsAreSubtotals="1" fieldPosition="0"/>
    </format>
  </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CA3D7ED-6856-4DE6-B11C-EF760351694A}" name="PivotTable10" cacheId="6" applyNumberFormats="0" applyBorderFormats="0" applyFontFormats="0" applyPatternFormats="0" applyAlignmentFormats="0" applyWidthHeightFormats="1" dataCaption="Values" tag="d8d2d25a-3cbb-44e7-bb75-665646f3e174" updatedVersion="7" minRefreshableVersion="3" subtotalHiddenItems="1" itemPrintTitles="1" createdVersion="5" indent="0" outline="1" outlineData="1" multipleFieldFilters="0" chartFormat="17">
  <location ref="A26:C29" firstHeaderRow="0" firstDataRow="1" firstDataCol="1"/>
  <pivotFields count="5">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3"/>
  </rowFields>
  <rowItems count="3">
    <i>
      <x/>
    </i>
    <i>
      <x v="1"/>
    </i>
    <i t="grand">
      <x/>
    </i>
  </rowItems>
  <colFields count="1">
    <field x="-2"/>
  </colFields>
  <colItems count="2">
    <i>
      <x/>
    </i>
    <i i="1">
      <x v="1"/>
    </i>
  </colItems>
  <dataFields count="2">
    <dataField name="Count of Patient Admission Flag" fld="2"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2" uniqueName="[__Xl2].[Measures].[Count of Patient Admission Flag]"/>
        </ext>
      </extLst>
    </dataField>
  </dataFields>
  <formats count="7">
    <format dxfId="16">
      <pivotArea outline="0" collapsedLevelsAreSubtotals="1" fieldPosition="0"/>
    </format>
    <format dxfId="15">
      <pivotArea type="all" dataOnly="0" outline="0" fieldPosition="0"/>
    </format>
    <format dxfId="14">
      <pivotArea outline="0" collapsedLevelsAreSubtotals="1" fieldPosition="0"/>
    </format>
    <format dxfId="13">
      <pivotArea dataOnly="0" labelOnly="1" outline="0" axis="axisValues" fieldPosition="0"/>
    </format>
    <format dxfId="12">
      <pivotArea outline="0" fieldPosition="0">
        <references count="1">
          <reference field="4294967294" count="1">
            <x v="1"/>
          </reference>
        </references>
      </pivotArea>
    </format>
    <format dxfId="11">
      <pivotArea collapsedLevelsAreSubtotals="1" fieldPosition="0">
        <references count="2">
          <reference field="4294967294" count="1" selected="0">
            <x v="0"/>
          </reference>
          <reference field="3" count="1">
            <x v="0"/>
          </reference>
        </references>
      </pivotArea>
    </format>
    <format dxfId="10">
      <pivotArea collapsedLevelsAreSubtotals="1" fieldPosition="0">
        <references count="2">
          <reference field="4294967294" count="1" selected="0">
            <x v="0"/>
          </reference>
          <reference field="3" count="1">
            <x v="1"/>
          </reference>
        </references>
      </pivotArea>
    </format>
  </formats>
  <chartFormats count="8">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pivotArea type="data" outline="0" fieldPosition="0">
        <references count="2">
          <reference field="4294967294" count="1" selected="0">
            <x v="0"/>
          </reference>
          <reference field="3" count="1" selected="0">
            <x v="1"/>
          </reference>
        </references>
      </pivotArea>
    </chartFormat>
    <chartFormat chart="0" format="3">
      <pivotArea type="data" outline="0" fieldPosition="0">
        <references count="2">
          <reference field="4294967294" count="1" selected="0">
            <x v="0"/>
          </reference>
          <reference field="3" count="1" selected="0">
            <x v="0"/>
          </reference>
        </references>
      </pivotArea>
    </chartFormat>
    <chartFormat chart="9" format="0" series="1">
      <pivotArea type="data" outline="0" fieldPosition="0">
        <references count="1">
          <reference field="4294967294" count="1" selected="0">
            <x v="0"/>
          </reference>
        </references>
      </pivotArea>
    </chartFormat>
    <chartFormat chart="9" format="1" series="1">
      <pivotArea type="data" outline="0" fieldPosition="0">
        <references count="1">
          <reference field="4294967294" count="1" selected="0">
            <x v="1"/>
          </reference>
        </references>
      </pivotArea>
    </chartFormat>
    <chartFormat chart="9" format="2">
      <pivotArea type="data" outline="0" fieldPosition="0">
        <references count="2">
          <reference field="4294967294" count="1" selected="0">
            <x v="0"/>
          </reference>
          <reference field="3" count="1" selected="0">
            <x v="0"/>
          </reference>
        </references>
      </pivotArea>
    </chartFormat>
    <chartFormat chart="9" format="4">
      <pivotArea type="data" outline="0" fieldPosition="0">
        <references count="2">
          <reference field="4294967294" count="1" selected="0">
            <x v="0"/>
          </reference>
          <reference field="3" count="1" selected="0">
            <x v="1"/>
          </reference>
        </references>
      </pivotArea>
    </chartFormat>
  </chartFormats>
  <pivotHierarchies count="36">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EC3FE34-8E7A-40B0-BCF8-4126434C05F0}" name="PivotTable4" cacheId="0" applyNumberFormats="0" applyBorderFormats="0" applyFontFormats="0" applyPatternFormats="0" applyAlignmentFormats="0" applyWidthHeightFormats="1" dataCaption="Values" tag="23786e20-4e31-42ec-a85c-b8498d2dfaf4" updatedVersion="7" minRefreshableVersion="3" subtotalHiddenItems="1" itemPrintTitles="1" createdVersion="5" indent="0" outline="1" outlineData="1" multipleFieldFilters="0" chartFormat="29">
  <location ref="E1:F32" firstHeaderRow="1" firstDataRow="1" firstDataCol="1"/>
  <pivotFields count="4">
    <pivotField axis="axisRow" allDrilled="1" subtotalTop="0" showAll="0" defaultSubtotal="0" defaultAttributeDrillState="1">
      <items count="61">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31">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t="grand">
      <x/>
    </i>
  </rowItems>
  <colItems count="1">
    <i/>
  </colItems>
  <dataFields count="1">
    <dataField name="Average of Patient Waittime" fld="3" subtotal="average" baseField="0" baseItem="0" numFmtId="164"/>
  </dataFields>
  <formats count="6">
    <format dxfId="22">
      <pivotArea outline="0" collapsedLevelsAreSubtotals="1" fieldPosition="0"/>
    </format>
    <format dxfId="21">
      <pivotArea collapsedLevelsAreSubtotals="1" fieldPosition="0">
        <references count="1">
          <reference field="0" count="0"/>
        </references>
      </pivotArea>
    </format>
    <format dxfId="20">
      <pivotArea outline="0" collapsedLevelsAreSubtotals="1" fieldPosition="0"/>
    </format>
    <format dxfId="19">
      <pivotArea collapsedLevelsAreSubtotals="1" fieldPosition="0">
        <references count="1">
          <reference field="0" count="16">
            <x v="0"/>
            <x v="1"/>
            <x v="2"/>
            <x v="3"/>
            <x v="4"/>
            <x v="5"/>
            <x v="6"/>
            <x v="7"/>
            <x v="8"/>
            <x v="9"/>
            <x v="10"/>
            <x v="11"/>
            <x v="12"/>
            <x v="13"/>
            <x v="14"/>
            <x v="15"/>
          </reference>
        </references>
      </pivotArea>
    </format>
    <format dxfId="18">
      <pivotArea collapsedLevelsAreSubtotals="1" fieldPosition="0">
        <references count="1">
          <reference field="0" count="15">
            <x v="16"/>
            <x v="17"/>
            <x v="18"/>
            <x v="19"/>
            <x v="20"/>
            <x v="21"/>
            <x v="22"/>
            <x v="23"/>
            <x v="24"/>
            <x v="25"/>
            <x v="26"/>
            <x v="27"/>
            <x v="28"/>
            <x v="29"/>
            <x v="30"/>
          </reference>
        </references>
      </pivotArea>
    </format>
    <format dxfId="17">
      <pivotArea grandRow="1" outline="0" collapsedLevelsAreSubtotals="1" fieldPosition="0"/>
    </format>
  </formats>
  <chartFormats count="4">
    <chartFormat chart="20" format="0" series="1">
      <pivotArea type="data" outline="0" fieldPosition="0">
        <references count="1">
          <reference field="4294967294" count="1" selected="0">
            <x v="0"/>
          </reference>
        </references>
      </pivotArea>
    </chartFormat>
    <chartFormat chart="22" format="0" series="1">
      <pivotArea type="data" outline="0" fieldPosition="0">
        <references count="1">
          <reference field="4294967294" count="1" selected="0">
            <x v="0"/>
          </reference>
        </references>
      </pivotArea>
    </chartFormat>
    <chartFormat chart="27" format="4" series="1">
      <pivotArea type="data" outline="0" fieldPosition="0">
        <references count="1">
          <reference field="4294967294" count="1" selected="0">
            <x v="0"/>
          </reference>
        </references>
      </pivotArea>
    </chartFormat>
    <chartFormat chart="28" format="5"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73CA07AB-84F5-421D-AC64-F489F722556F}" name="PivotTable6" cacheId="7" applyNumberFormats="0" applyBorderFormats="0" applyFontFormats="0" applyPatternFormats="0" applyAlignmentFormats="0" applyWidthHeightFormats="1" dataCaption="Values" tag="9d267748-2e71-4721-99cc-b80d5fd8cd05" updatedVersion="7" minRefreshableVersion="3" subtotalHiddenItems="1" itemPrintTitles="1" createdVersion="5" indent="0" outline="1" outlineData="1" multipleFieldFilters="0" chartFormat="13">
  <location ref="A41:B50" firstHeaderRow="1" firstDataRow="1" firstDataCol="1"/>
  <pivotFields count="4">
    <pivotField allDrilled="1" subtotalTop="0" showAll="0" dataSourceSort="1" defaultSubtotal="0" defaultAttributeDrillState="1"/>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pivotField>
    <pivotField dataField="1" subtotalTop="0" showAll="0" defaultSubtotal="0"/>
  </pivotFields>
  <rowFields count="1">
    <field x="2"/>
  </rowFields>
  <rowItems count="9">
    <i>
      <x/>
    </i>
    <i>
      <x v="1"/>
    </i>
    <i>
      <x v="2"/>
    </i>
    <i>
      <x v="3"/>
    </i>
    <i>
      <x v="4"/>
    </i>
    <i>
      <x v="5"/>
    </i>
    <i>
      <x v="6"/>
    </i>
    <i>
      <x v="7"/>
    </i>
    <i t="grand">
      <x/>
    </i>
  </rowItems>
  <colItems count="1">
    <i/>
  </colItems>
  <dataFields count="1">
    <dataField name="Count of Department Referral" fld="3" subtotal="count" baseField="2" baseItem="0"/>
  </dataFields>
  <formats count="1">
    <format dxfId="23">
      <pivotArea outline="0" collapsedLevelsAreSubtotals="1" fieldPosition="0"/>
    </format>
  </formats>
  <chartFormats count="1">
    <chartFormat chart="12" format="2"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caption="Count of Department Referral"/>
    <pivotHierarchy dragToData="1" caption="Distinct Count of Department Referral"/>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3B36F65-3FDD-4C37-9692-95E677D8F509}" name="PivotTable3" cacheId="3" applyNumberFormats="0" applyBorderFormats="0" applyFontFormats="0" applyPatternFormats="0" applyAlignmentFormats="0" applyWidthHeightFormats="1" dataCaption="Values" tag="d4af48cd-6292-4cf7-99fb-dd8c7f7e1398" updatedVersion="7" minRefreshableVersion="3" subtotalHiddenItems="1" itemPrintTitles="1" createdVersion="5" indent="0" outline="1" outlineData="1" multipleFieldFilters="0">
  <location ref="A19:A20"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numFmtId="2"/>
  </dataFields>
  <formats count="4">
    <format dxfId="27">
      <pivotArea outline="0" collapsedLevelsAreSubtotals="1" fieldPosition="0"/>
    </format>
    <format dxfId="26">
      <pivotArea type="all" dataOnly="0" outline="0" fieldPosition="0"/>
    </format>
    <format dxfId="25">
      <pivotArea outline="0" collapsedLevelsAreSubtotals="1" fieldPosition="0"/>
    </format>
    <format dxfId="24">
      <pivotArea dataOnly="0" labelOnly="1" outline="0" axis="axisValues" fieldPosition="0"/>
    </format>
  </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D23247E-7E50-421B-B1A8-D96C9F3D3EAB}" name="PivotTable9" cacheId="5" applyNumberFormats="0" applyBorderFormats="0" applyFontFormats="0" applyPatternFormats="0" applyAlignmentFormats="0" applyWidthHeightFormats="1" dataCaption="Values" tag="e1b6e3f7-bfad-4ee7-b991-25273ce1db8b" updatedVersion="7" minRefreshableVersion="3" subtotalHiddenItems="1" itemPrintTitles="1" createdVersion="5" indent="0" outline="1" outlineData="1" multipleFieldFilters="0" chartFormat="29">
  <location ref="M11:N42"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3" subtotal="average" baseField="0" baseItem="0"/>
  </dataFields>
  <formats count="6">
    <format dxfId="33">
      <pivotArea outline="0" collapsedLevelsAreSubtotals="1" fieldPosition="0"/>
    </format>
    <format dxfId="32">
      <pivotArea collapsedLevelsAreSubtotals="1" fieldPosition="0">
        <references count="1">
          <reference field="0" count="0"/>
        </references>
      </pivotArea>
    </format>
    <format dxfId="31">
      <pivotArea outline="0" collapsedLevelsAreSubtotals="1" fieldPosition="0"/>
    </format>
    <format dxfId="30">
      <pivotArea collapsedLevelsAreSubtotals="1" fieldPosition="0">
        <references count="1">
          <reference field="0" count="16">
            <x v="30"/>
            <x v="31"/>
            <x v="32"/>
            <x v="33"/>
            <x v="34"/>
            <x v="35"/>
            <x v="36"/>
            <x v="37"/>
            <x v="38"/>
            <x v="39"/>
            <x v="40"/>
            <x v="41"/>
            <x v="42"/>
            <x v="43"/>
            <x v="44"/>
            <x v="45"/>
          </reference>
        </references>
      </pivotArea>
    </format>
    <format dxfId="29">
      <pivotArea collapsedLevelsAreSubtotals="1" fieldPosition="0">
        <references count="1">
          <reference field="0" count="15">
            <x v="46"/>
            <x v="47"/>
            <x v="48"/>
            <x v="49"/>
            <x v="50"/>
            <x v="51"/>
            <x v="52"/>
            <x v="53"/>
            <x v="54"/>
            <x v="55"/>
            <x v="56"/>
            <x v="57"/>
            <x v="58"/>
            <x v="59"/>
            <x v="60"/>
          </reference>
        </references>
      </pivotArea>
    </format>
    <format dxfId="28">
      <pivotArea grandRow="1" outline="0" collapsedLevelsAreSubtotals="1" fieldPosition="0"/>
    </format>
  </formats>
  <chartFormats count="4">
    <chartFormat chart="22" format="0"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5" format="1"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5876BAF-796C-4F62-886B-3D6662EBDAFE}" name="PivotTable8" cacheId="4" applyNumberFormats="0" applyBorderFormats="0" applyFontFormats="0" applyPatternFormats="0" applyAlignmentFormats="0" applyWidthHeightFormats="1" dataCaption="Values" tag="7e0aa9ef-f530-4891-a35f-feb3cf1ed21a" updatedVersion="7" minRefreshableVersion="3" subtotalHiddenItems="1" itemPrintTitles="1" createdVersion="5" indent="0" outline="1" outlineData="1" multipleFieldFilters="0" chartFormat="30">
  <location ref="J11:K42" firstHeaderRow="1" firstDataRow="1" firstDataCol="1"/>
  <pivotFields count="4">
    <pivotField axis="axisRow" allDrilled="1" subtotalTop="0" showAll="0" dataSourceSort="1" defaultSubtotal="0" defaultAttributeDrillState="1">
      <items count="6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s>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3" subtotal="count" baseField="0" baseItem="0">
      <extLst>
        <ext xmlns:x15="http://schemas.microsoft.com/office/spreadsheetml/2010/11/main" uri="{FABC7310-3BB5-11E1-824E-6D434824019B}">
          <x15:dataField isCountDistinct="1"/>
        </ext>
      </extLst>
    </dataField>
  </dataFields>
  <formats count="6">
    <format dxfId="39">
      <pivotArea outline="0" collapsedLevelsAreSubtotals="1" fieldPosition="0"/>
    </format>
    <format dxfId="38">
      <pivotArea collapsedLevelsAreSubtotals="1" fieldPosition="0">
        <references count="1">
          <reference field="0" count="0"/>
        </references>
      </pivotArea>
    </format>
    <format dxfId="37">
      <pivotArea outline="0" collapsedLevelsAreSubtotals="1" fieldPosition="0"/>
    </format>
    <format dxfId="36">
      <pivotArea collapsedLevelsAreSubtotals="1" fieldPosition="0">
        <references count="1">
          <reference field="0" count="16">
            <x v="30"/>
            <x v="31"/>
            <x v="32"/>
            <x v="33"/>
            <x v="34"/>
            <x v="35"/>
            <x v="36"/>
            <x v="37"/>
            <x v="38"/>
            <x v="39"/>
            <x v="40"/>
            <x v="41"/>
            <x v="42"/>
            <x v="43"/>
            <x v="44"/>
            <x v="45"/>
          </reference>
        </references>
      </pivotArea>
    </format>
    <format dxfId="35">
      <pivotArea collapsedLevelsAreSubtotals="1" fieldPosition="0">
        <references count="1">
          <reference field="0" count="15">
            <x v="46"/>
            <x v="47"/>
            <x v="48"/>
            <x v="49"/>
            <x v="50"/>
            <x v="51"/>
            <x v="52"/>
            <x v="53"/>
            <x v="54"/>
            <x v="55"/>
            <x v="56"/>
            <x v="57"/>
            <x v="58"/>
            <x v="59"/>
            <x v="60"/>
          </reference>
        </references>
      </pivotArea>
    </format>
    <format dxfId="34">
      <pivotArea grandRow="1" outline="0" collapsedLevelsAreSubtotals="1" fieldPosition="0"/>
    </format>
  </formats>
  <chartFormats count="2">
    <chartFormat chart="25" format="0" series="1">
      <pivotArea type="data" outline="0" fieldPosition="0">
        <references count="1">
          <reference field="4294967294" count="1" selected="0">
            <x v="0"/>
          </reference>
        </references>
      </pivotArea>
    </chartFormat>
    <chartFormat chart="29" format="4" series="1">
      <pivotArea type="data" outline="0" fieldPosition="0">
        <references count="1">
          <reference field="4294967294" count="1" selected="0">
            <x v="0"/>
          </reference>
        </references>
      </pivotArea>
    </chartFormat>
  </chartFormats>
  <pivotHierarchies count="35">
    <pivotHierarchy dragToData="1"/>
    <pivotHierarchy multipleItemSelectionAllowed="1" dragToData="1">
      <members count="1" level="1">
        <member name="[Calender_table].[Dates (Month)].&amp;[Jun]"/>
      </members>
    </pivotHierarchy>
    <pivotHierarchy dragToData="1"/>
    <pivotHierarchy multipleItemSelectionAllowed="1" dragToData="1">
      <members count="1" level="1">
        <member name="[Calender_table].[Dates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ender_table]"/>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Month" xr10:uid="{07A325C0-D6D1-4F34-B98D-76173392CE25}" sourceName="[Calender_table].[Dates (Month)]">
  <pivotTables>
    <pivotTable tabId="1" name="PivotTable4"/>
    <pivotTable tabId="1" name="PivotTable1"/>
    <pivotTable tabId="1" name="PivotTable2"/>
    <pivotTable tabId="1" name="PivotTable3"/>
    <pivotTable tabId="1" name="PivotTable8"/>
    <pivotTable tabId="1" name="PivotTable9"/>
    <pivotTable tabId="1" name="PivotTable10"/>
    <pivotTable tabId="1" name="PivotTable6"/>
    <pivotTable tabId="1" name="PivotTable7"/>
    <pivotTable tabId="1" name="PivotTable11"/>
    <pivotTable tabId="1" name="PivotTable12"/>
    <pivotTable tabId="1" name="PivotTable13"/>
    <pivotTable tabId="1" name="PivotTable5"/>
  </pivotTables>
  <data>
    <olap pivotCacheId="1249165126">
      <levels count="2">
        <level uniqueName="[Calender_table].[Dates (Month)].[(All)]" sourceCaption="(All)" count="0"/>
        <level uniqueName="[Calender_table].[Dates (Month)].[Dates (Month)]" sourceCaption="Dates (Month)" count="12">
          <ranges>
            <range startItem="0">
              <i n="[Calender_table].[Dates (Month)].&amp;[Jan]" c="Jan"/>
              <i n="[Calender_table].[Dates (Month)].&amp;[Feb]" c="Feb"/>
              <i n="[Calender_table].[Dates (Month)].&amp;[Mar]" c="Mar"/>
              <i n="[Calender_table].[Dates (Month)].&amp;[Apr]" c="Apr"/>
              <i n="[Calender_table].[Dates (Month)].&amp;[May]" c="May"/>
              <i n="[Calender_table].[Dates (Month)].&amp;[Jun]" c="Jun"/>
              <i n="[Calender_table].[Dates (Month)].&amp;[Jul]" c="Jul"/>
              <i n="[Calender_table].[Dates (Month)].&amp;[Aug]" c="Aug"/>
              <i n="[Calender_table].[Dates (Month)].&amp;[Sep]" c="Sep"/>
              <i n="[Calender_table].[Dates (Month)].&amp;[Oct]" c="Oct"/>
              <i n="[Calender_table].[Dates (Month)].&amp;[Nov]" c="Nov" nd="1"/>
              <i n="[Calender_table].[Dates (Month)].&amp;[Dec]" c="Dec" nd="1"/>
            </range>
          </ranges>
        </level>
      </levels>
      <selections count="1">
        <selection n="[Calender_table].[Dates (Month)].&amp;[Jun]"/>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s__Year" xr10:uid="{605FACC6-A89F-452D-BF51-34D550C9549C}" sourceName="[Calender_table].[Dates (Year)]">
  <pivotTables>
    <pivotTable tabId="1" name="PivotTable1"/>
    <pivotTable tabId="1" name="PivotTable2"/>
    <pivotTable tabId="1" name="PivotTable3"/>
    <pivotTable tabId="1" name="PivotTable4"/>
    <pivotTable tabId="1" name="PivotTable8"/>
    <pivotTable tabId="1" name="PivotTable9"/>
    <pivotTable tabId="1" name="PivotTable10"/>
    <pivotTable tabId="1" name="PivotTable6"/>
    <pivotTable tabId="1" name="PivotTable7"/>
    <pivotTable tabId="1" name="PivotTable11"/>
    <pivotTable tabId="1" name="PivotTable12"/>
    <pivotTable tabId="1" name="PivotTable13"/>
    <pivotTable tabId="1" name="PivotTable5"/>
  </pivotTables>
  <data>
    <olap pivotCacheId="1249165126">
      <levels count="2">
        <level uniqueName="[Calender_table].[Dates (Year)].[(All)]" sourceCaption="(All)" count="0"/>
        <level uniqueName="[Calender_table].[Dates (Year)].[Dates (Year)]" sourceCaption="Dates (Year)" count="2" crossFilter="showItemsWithNoData">
          <ranges>
            <range startItem="0">
              <i n="[Calender_table].[Dates (Year)].&amp;[2023]" c="2023"/>
              <i n="[Calender_table].[Dates (Year)].&amp;[2024]" c="2024"/>
            </range>
          </ranges>
        </level>
      </levels>
      <selections count="1">
        <selection n="[Calender_table].[Dates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s (Month) 2" xr10:uid="{F4FB3829-052F-4479-8817-81DE668E1ADF}" cache="Slicer_Dates__Month" caption="Dates (Month)" columnCount="12" showCaption="0" level="1" style="my style" rowHeight="360000"/>
  <slicer name="Dates (Year) 2" xr10:uid="{2F03B738-4F9A-4EA3-8DA5-11FC9FFD117C}" cache="Slicer_Dates__Year" caption="Dates (Year)" columnCount="2" showCaption="0" level="1" style="SlicerStyleDark5"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1.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0"/>
  <sheetViews>
    <sheetView topLeftCell="E1" workbookViewId="0">
      <selection activeCell="G13" sqref="G13"/>
    </sheetView>
  </sheetViews>
  <sheetFormatPr defaultRowHeight="14.4" x14ac:dyDescent="0.3"/>
  <cols>
    <col min="1" max="1" width="32.77734375" customWidth="1"/>
    <col min="2" max="2" width="14" customWidth="1"/>
    <col min="3" max="3" width="11.44140625" customWidth="1"/>
    <col min="4" max="4" width="43.109375" customWidth="1"/>
    <col min="5" max="5" width="48.33203125" customWidth="1"/>
    <col min="6" max="6" width="26.44140625" customWidth="1"/>
    <col min="7" max="7" width="26.21875" customWidth="1"/>
    <col min="8" max="8" width="15.5546875" bestFit="1" customWidth="1"/>
    <col min="9" max="9" width="28.6640625" customWidth="1"/>
    <col min="10" max="10" width="15.5546875" bestFit="1" customWidth="1"/>
    <col min="11" max="11" width="23.5546875" customWidth="1"/>
    <col min="12" max="732" width="15.5546875" bestFit="1" customWidth="1"/>
    <col min="733" max="733" width="10.77734375" bestFit="1" customWidth="1"/>
  </cols>
  <sheetData>
    <row r="1" spans="1:14" x14ac:dyDescent="0.3">
      <c r="E1" s="1" t="s">
        <v>4</v>
      </c>
      <c r="F1" t="s">
        <v>2</v>
      </c>
    </row>
    <row r="2" spans="1:14" x14ac:dyDescent="0.3">
      <c r="E2" s="5" t="s">
        <v>40</v>
      </c>
      <c r="F2" s="10">
        <v>33.352941176470587</v>
      </c>
    </row>
    <row r="3" spans="1:14" x14ac:dyDescent="0.3">
      <c r="E3" s="5" t="s">
        <v>41</v>
      </c>
      <c r="F3" s="10">
        <v>38.4</v>
      </c>
    </row>
    <row r="4" spans="1:14" x14ac:dyDescent="0.3">
      <c r="E4" s="5" t="s">
        <v>42</v>
      </c>
      <c r="F4" s="10">
        <v>38.521739130434781</v>
      </c>
    </row>
    <row r="5" spans="1:14" x14ac:dyDescent="0.3">
      <c r="E5" s="5" t="s">
        <v>43</v>
      </c>
      <c r="F5" s="10">
        <v>30.4</v>
      </c>
    </row>
    <row r="6" spans="1:14" x14ac:dyDescent="0.3">
      <c r="E6" s="5" t="s">
        <v>44</v>
      </c>
      <c r="F6" s="10">
        <v>33.142857142857146</v>
      </c>
    </row>
    <row r="7" spans="1:14" x14ac:dyDescent="0.3">
      <c r="E7" s="5" t="s">
        <v>45</v>
      </c>
      <c r="F7" s="10">
        <v>38.18181818181818</v>
      </c>
    </row>
    <row r="8" spans="1:14" x14ac:dyDescent="0.3">
      <c r="E8" s="5" t="s">
        <v>46</v>
      </c>
      <c r="F8" s="10">
        <v>39.733333333333334</v>
      </c>
    </row>
    <row r="9" spans="1:14" x14ac:dyDescent="0.3">
      <c r="E9" s="5" t="s">
        <v>47</v>
      </c>
      <c r="F9" s="10">
        <v>37</v>
      </c>
    </row>
    <row r="10" spans="1:14" x14ac:dyDescent="0.3">
      <c r="A10" t="s">
        <v>1</v>
      </c>
      <c r="E10" s="5" t="s">
        <v>48</v>
      </c>
      <c r="F10" s="10">
        <v>35.61904761904762</v>
      </c>
    </row>
    <row r="11" spans="1:14" x14ac:dyDescent="0.3">
      <c r="A11" s="2">
        <v>485</v>
      </c>
      <c r="E11" s="5" t="s">
        <v>49</v>
      </c>
      <c r="F11" s="10">
        <v>34.176470588235297</v>
      </c>
      <c r="J11" s="1" t="s">
        <v>4</v>
      </c>
      <c r="K11" t="s">
        <v>1</v>
      </c>
      <c r="M11" s="1" t="s">
        <v>4</v>
      </c>
      <c r="N11" t="s">
        <v>3</v>
      </c>
    </row>
    <row r="12" spans="1:14" x14ac:dyDescent="0.3">
      <c r="A12" s="3"/>
      <c r="E12" s="5" t="s">
        <v>50</v>
      </c>
      <c r="F12" s="10">
        <v>37.176470588235297</v>
      </c>
      <c r="J12" s="5" t="s">
        <v>40</v>
      </c>
      <c r="K12" s="10">
        <v>17</v>
      </c>
      <c r="M12" s="5" t="s">
        <v>40</v>
      </c>
      <c r="N12" s="10">
        <v>4.75</v>
      </c>
    </row>
    <row r="13" spans="1:14" x14ac:dyDescent="0.3">
      <c r="A13" s="3"/>
      <c r="E13" s="5" t="s">
        <v>51</v>
      </c>
      <c r="F13" s="10">
        <v>36.647058823529413</v>
      </c>
      <c r="J13" s="5" t="s">
        <v>41</v>
      </c>
      <c r="K13" s="10">
        <v>10</v>
      </c>
      <c r="M13" s="5" t="s">
        <v>41</v>
      </c>
      <c r="N13" s="10">
        <v>5.2</v>
      </c>
    </row>
    <row r="14" spans="1:14" x14ac:dyDescent="0.3">
      <c r="A14" s="3" t="s">
        <v>2</v>
      </c>
      <c r="E14" s="5" t="s">
        <v>52</v>
      </c>
      <c r="F14" s="10">
        <v>34.941176470588232</v>
      </c>
      <c r="J14" s="5" t="s">
        <v>42</v>
      </c>
      <c r="K14" s="10">
        <v>23</v>
      </c>
      <c r="M14" s="5" t="s">
        <v>42</v>
      </c>
      <c r="N14" s="10">
        <v>3.375</v>
      </c>
    </row>
    <row r="15" spans="1:14" x14ac:dyDescent="0.3">
      <c r="A15" s="4">
        <v>35.507216494845359</v>
      </c>
      <c r="E15" s="5" t="s">
        <v>53</v>
      </c>
      <c r="F15" s="10">
        <v>44</v>
      </c>
      <c r="J15" s="5" t="s">
        <v>43</v>
      </c>
      <c r="K15" s="10">
        <v>15</v>
      </c>
      <c r="M15" s="5" t="s">
        <v>43</v>
      </c>
      <c r="N15" s="10">
        <v>5.8</v>
      </c>
    </row>
    <row r="16" spans="1:14" x14ac:dyDescent="0.3">
      <c r="A16" s="3"/>
      <c r="E16" s="5" t="s">
        <v>54</v>
      </c>
      <c r="F16" s="10">
        <v>38.913043478260867</v>
      </c>
      <c r="J16" s="5" t="s">
        <v>44</v>
      </c>
      <c r="K16" s="10">
        <v>14</v>
      </c>
      <c r="M16" s="5" t="s">
        <v>44</v>
      </c>
      <c r="N16" s="10">
        <v>4.375</v>
      </c>
    </row>
    <row r="17" spans="1:14" x14ac:dyDescent="0.3">
      <c r="A17" s="3"/>
      <c r="E17" s="5" t="s">
        <v>55</v>
      </c>
      <c r="F17" s="10">
        <v>31</v>
      </c>
      <c r="J17" s="5" t="s">
        <v>45</v>
      </c>
      <c r="K17" s="10">
        <v>11</v>
      </c>
      <c r="M17" s="5" t="s">
        <v>45</v>
      </c>
      <c r="N17" s="10">
        <v>3</v>
      </c>
    </row>
    <row r="18" spans="1:14" x14ac:dyDescent="0.3">
      <c r="A18" s="3"/>
      <c r="E18" s="5" t="s">
        <v>56</v>
      </c>
      <c r="F18" s="10">
        <v>34.227272727272727</v>
      </c>
      <c r="J18" s="5" t="s">
        <v>46</v>
      </c>
      <c r="K18" s="10">
        <v>15</v>
      </c>
      <c r="M18" s="5" t="s">
        <v>46</v>
      </c>
      <c r="N18" s="10">
        <v>5</v>
      </c>
    </row>
    <row r="19" spans="1:14" x14ac:dyDescent="0.3">
      <c r="A19" s="3" t="s">
        <v>3</v>
      </c>
      <c r="E19" s="5" t="s">
        <v>57</v>
      </c>
      <c r="F19" s="10">
        <v>31</v>
      </c>
      <c r="J19" s="5" t="s">
        <v>47</v>
      </c>
      <c r="K19" s="10">
        <v>20</v>
      </c>
      <c r="M19" s="5" t="s">
        <v>47</v>
      </c>
      <c r="N19" s="10">
        <v>3</v>
      </c>
    </row>
    <row r="20" spans="1:14" x14ac:dyDescent="0.3">
      <c r="A20" s="4">
        <v>4.7092198581560281</v>
      </c>
      <c r="E20" s="5" t="s">
        <v>58</v>
      </c>
      <c r="F20" s="10">
        <v>32.153846153846153</v>
      </c>
      <c r="J20" s="5" t="s">
        <v>48</v>
      </c>
      <c r="K20" s="10">
        <v>21</v>
      </c>
      <c r="M20" s="5" t="s">
        <v>48</v>
      </c>
      <c r="N20" s="10">
        <v>4.9090909090909092</v>
      </c>
    </row>
    <row r="21" spans="1:14" x14ac:dyDescent="0.3">
      <c r="E21" s="5" t="s">
        <v>59</v>
      </c>
      <c r="F21" s="10">
        <v>32.785714285714285</v>
      </c>
      <c r="J21" s="5" t="s">
        <v>49</v>
      </c>
      <c r="K21" s="10">
        <v>17</v>
      </c>
      <c r="M21" s="5" t="s">
        <v>49</v>
      </c>
      <c r="N21" s="10">
        <v>3.8333333333333335</v>
      </c>
    </row>
    <row r="22" spans="1:14" x14ac:dyDescent="0.3">
      <c r="E22" s="5" t="s">
        <v>60</v>
      </c>
      <c r="F22" s="10">
        <v>30</v>
      </c>
      <c r="J22" s="5" t="s">
        <v>50</v>
      </c>
      <c r="K22" s="10">
        <v>17</v>
      </c>
      <c r="M22" s="5" t="s">
        <v>50</v>
      </c>
      <c r="N22" s="10">
        <v>3.875</v>
      </c>
    </row>
    <row r="23" spans="1:14" x14ac:dyDescent="0.3">
      <c r="E23" s="5" t="s">
        <v>61</v>
      </c>
      <c r="F23" s="10">
        <v>33.5</v>
      </c>
      <c r="J23" s="5" t="s">
        <v>51</v>
      </c>
      <c r="K23" s="10">
        <v>17</v>
      </c>
      <c r="M23" s="5" t="s">
        <v>51</v>
      </c>
      <c r="N23" s="10">
        <v>4.333333333333333</v>
      </c>
    </row>
    <row r="24" spans="1:14" x14ac:dyDescent="0.3">
      <c r="E24" s="5" t="s">
        <v>62</v>
      </c>
      <c r="F24" s="10">
        <v>32.950000000000003</v>
      </c>
      <c r="J24" s="5" t="s">
        <v>52</v>
      </c>
      <c r="K24" s="10">
        <v>17</v>
      </c>
      <c r="M24" s="5" t="s">
        <v>52</v>
      </c>
      <c r="N24" s="10">
        <v>3.5</v>
      </c>
    </row>
    <row r="25" spans="1:14" x14ac:dyDescent="0.3">
      <c r="E25" s="5" t="s">
        <v>63</v>
      </c>
      <c r="F25" s="10">
        <v>35.842105263157897</v>
      </c>
      <c r="J25" s="5" t="s">
        <v>53</v>
      </c>
      <c r="K25" s="10">
        <v>11</v>
      </c>
      <c r="M25" s="5" t="s">
        <v>53</v>
      </c>
      <c r="N25" s="10">
        <v>5.4</v>
      </c>
    </row>
    <row r="26" spans="1:14" x14ac:dyDescent="0.3">
      <c r="A26" s="7" t="s">
        <v>4</v>
      </c>
      <c r="B26" s="3" t="s">
        <v>5</v>
      </c>
      <c r="C26" s="3" t="s">
        <v>8</v>
      </c>
      <c r="D26" s="3"/>
      <c r="E26" s="5" t="s">
        <v>64</v>
      </c>
      <c r="F26" s="10">
        <v>33.846153846153847</v>
      </c>
      <c r="J26" s="5" t="s">
        <v>54</v>
      </c>
      <c r="K26" s="10">
        <v>23</v>
      </c>
      <c r="M26" s="5" t="s">
        <v>54</v>
      </c>
      <c r="N26" s="10">
        <v>5.375</v>
      </c>
    </row>
    <row r="27" spans="1:14" x14ac:dyDescent="0.3">
      <c r="A27" s="3" t="s">
        <v>6</v>
      </c>
      <c r="B27" s="6">
        <v>235</v>
      </c>
      <c r="C27" s="8">
        <v>0.4845360824742268</v>
      </c>
      <c r="D27" s="8"/>
      <c r="E27" s="5" t="s">
        <v>65</v>
      </c>
      <c r="F27" s="10">
        <v>39.06666666666667</v>
      </c>
      <c r="J27" s="5" t="s">
        <v>55</v>
      </c>
      <c r="K27" s="10">
        <v>14</v>
      </c>
      <c r="M27" s="5" t="s">
        <v>55</v>
      </c>
      <c r="N27" s="10">
        <v>3.3333333333333335</v>
      </c>
    </row>
    <row r="28" spans="1:14" x14ac:dyDescent="0.3">
      <c r="A28" s="3" t="s">
        <v>7</v>
      </c>
      <c r="B28" s="6">
        <v>250</v>
      </c>
      <c r="C28" s="8">
        <v>0.51546391752577314</v>
      </c>
      <c r="D28" s="8"/>
      <c r="E28" s="5" t="s">
        <v>66</v>
      </c>
      <c r="F28" s="10">
        <v>36.684210526315788</v>
      </c>
      <c r="J28" s="5" t="s">
        <v>56</v>
      </c>
      <c r="K28" s="10">
        <v>22</v>
      </c>
      <c r="M28" s="5" t="s">
        <v>56</v>
      </c>
      <c r="N28" s="10">
        <v>6.2</v>
      </c>
    </row>
    <row r="29" spans="1:14" x14ac:dyDescent="0.3">
      <c r="A29" s="3" t="s">
        <v>0</v>
      </c>
      <c r="B29" s="4">
        <v>485</v>
      </c>
      <c r="C29" s="8">
        <v>1</v>
      </c>
      <c r="D29" s="8"/>
      <c r="E29" s="5" t="s">
        <v>67</v>
      </c>
      <c r="F29" s="10">
        <v>33.764705882352942</v>
      </c>
      <c r="J29" s="5" t="s">
        <v>57</v>
      </c>
      <c r="K29" s="10">
        <v>16</v>
      </c>
      <c r="M29" s="5" t="s">
        <v>57</v>
      </c>
      <c r="N29" s="10">
        <v>1.6666666666666667</v>
      </c>
    </row>
    <row r="30" spans="1:14" x14ac:dyDescent="0.3">
      <c r="E30" s="5" t="s">
        <v>68</v>
      </c>
      <c r="F30" s="10">
        <v>34.533333333333331</v>
      </c>
      <c r="J30" s="5" t="s">
        <v>58</v>
      </c>
      <c r="K30" s="10">
        <v>13</v>
      </c>
      <c r="M30" s="5" t="s">
        <v>58</v>
      </c>
      <c r="N30" s="10">
        <v>4.5</v>
      </c>
    </row>
    <row r="31" spans="1:14" x14ac:dyDescent="0.3">
      <c r="E31" s="5" t="s">
        <v>69</v>
      </c>
      <c r="F31" s="10">
        <v>42.125</v>
      </c>
      <c r="J31" s="5" t="s">
        <v>59</v>
      </c>
      <c r="K31" s="10">
        <v>14</v>
      </c>
      <c r="M31" s="5" t="s">
        <v>59</v>
      </c>
      <c r="N31" s="10">
        <v>7.666666666666667</v>
      </c>
    </row>
    <row r="32" spans="1:14" x14ac:dyDescent="0.3">
      <c r="E32" s="5" t="s">
        <v>0</v>
      </c>
      <c r="F32" s="4">
        <v>35.507216494845359</v>
      </c>
      <c r="J32" s="5" t="s">
        <v>60</v>
      </c>
      <c r="K32" s="10">
        <v>12</v>
      </c>
      <c r="M32" s="5" t="s">
        <v>60</v>
      </c>
      <c r="N32" s="10">
        <v>4.4000000000000004</v>
      </c>
    </row>
    <row r="33" spans="1:14" x14ac:dyDescent="0.3">
      <c r="J33" s="5" t="s">
        <v>61</v>
      </c>
      <c r="K33" s="10">
        <v>12</v>
      </c>
      <c r="M33" s="5" t="s">
        <v>61</v>
      </c>
      <c r="N33" s="10">
        <v>6.5</v>
      </c>
    </row>
    <row r="34" spans="1:14" x14ac:dyDescent="0.3">
      <c r="A34" s="13" t="s">
        <v>23</v>
      </c>
      <c r="B34" s="13" t="s">
        <v>24</v>
      </c>
      <c r="C34" s="13" t="s">
        <v>25</v>
      </c>
      <c r="D34" s="13" t="s">
        <v>26</v>
      </c>
      <c r="J34" s="5" t="s">
        <v>62</v>
      </c>
      <c r="K34" s="10">
        <v>20</v>
      </c>
      <c r="M34" s="5" t="s">
        <v>62</v>
      </c>
      <c r="N34" s="10">
        <v>5</v>
      </c>
    </row>
    <row r="35" spans="1:14" x14ac:dyDescent="0.3">
      <c r="A35" s="14" t="str">
        <f>A28</f>
        <v>Notadmitted</v>
      </c>
      <c r="B35" s="14">
        <f t="shared" ref="B35:C35" si="0">B28</f>
        <v>250</v>
      </c>
      <c r="C35" s="15">
        <f t="shared" si="0"/>
        <v>0.51546391752577314</v>
      </c>
      <c r="D35" s="16"/>
      <c r="J35" s="5" t="s">
        <v>63</v>
      </c>
      <c r="K35" s="10">
        <v>19</v>
      </c>
      <c r="M35" s="5" t="s">
        <v>63</v>
      </c>
      <c r="N35" s="10">
        <v>5.25</v>
      </c>
    </row>
    <row r="36" spans="1:14" x14ac:dyDescent="0.3">
      <c r="A36" s="14" t="str">
        <f>A27</f>
        <v>Admitted</v>
      </c>
      <c r="B36" s="14">
        <f t="shared" ref="B36:C36" si="1">B27</f>
        <v>235</v>
      </c>
      <c r="C36" s="17">
        <f t="shared" si="1"/>
        <v>0.4845360824742268</v>
      </c>
      <c r="D36" s="16"/>
      <c r="J36" s="5" t="s">
        <v>64</v>
      </c>
      <c r="K36" s="10">
        <v>13</v>
      </c>
      <c r="M36" s="5" t="s">
        <v>64</v>
      </c>
      <c r="N36" s="10">
        <v>4.75</v>
      </c>
    </row>
    <row r="37" spans="1:14" x14ac:dyDescent="0.3">
      <c r="A37" s="16"/>
      <c r="B37" s="16"/>
      <c r="C37" s="16"/>
      <c r="D37" s="16"/>
      <c r="J37" s="5" t="s">
        <v>65</v>
      </c>
      <c r="K37" s="10">
        <v>15</v>
      </c>
      <c r="M37" s="5" t="s">
        <v>65</v>
      </c>
      <c r="N37" s="10">
        <v>5</v>
      </c>
    </row>
    <row r="38" spans="1:14" x14ac:dyDescent="0.3">
      <c r="J38" s="5" t="s">
        <v>66</v>
      </c>
      <c r="K38" s="10">
        <v>19</v>
      </c>
      <c r="M38" s="5" t="s">
        <v>66</v>
      </c>
      <c r="N38" s="10">
        <v>4</v>
      </c>
    </row>
    <row r="39" spans="1:14" x14ac:dyDescent="0.3">
      <c r="J39" s="5" t="s">
        <v>67</v>
      </c>
      <c r="K39" s="10">
        <v>17</v>
      </c>
      <c r="M39" s="5" t="s">
        <v>67</v>
      </c>
      <c r="N39" s="10">
        <v>5.333333333333333</v>
      </c>
    </row>
    <row r="40" spans="1:14" x14ac:dyDescent="0.3">
      <c r="A40" s="9"/>
      <c r="B40" s="9"/>
      <c r="C40" s="9"/>
      <c r="J40" s="5" t="s">
        <v>68</v>
      </c>
      <c r="K40" s="10">
        <v>15</v>
      </c>
      <c r="M40" s="5" t="s">
        <v>68</v>
      </c>
      <c r="N40" s="10">
        <v>6</v>
      </c>
    </row>
    <row r="41" spans="1:14" x14ac:dyDescent="0.3">
      <c r="A41" s="1" t="s">
        <v>4</v>
      </c>
      <c r="B41" t="s">
        <v>9</v>
      </c>
      <c r="J41" s="5" t="s">
        <v>69</v>
      </c>
      <c r="K41" s="10">
        <v>16</v>
      </c>
      <c r="M41" s="5" t="s">
        <v>69</v>
      </c>
      <c r="N41" s="10">
        <v>6.333333333333333</v>
      </c>
    </row>
    <row r="42" spans="1:14" x14ac:dyDescent="0.3">
      <c r="A42" s="5" t="s">
        <v>10</v>
      </c>
      <c r="B42" s="2">
        <v>13</v>
      </c>
      <c r="J42" s="5" t="s">
        <v>0</v>
      </c>
      <c r="K42" s="4">
        <v>485</v>
      </c>
      <c r="M42" s="5" t="s">
        <v>0</v>
      </c>
      <c r="N42" s="4">
        <v>4.7092198581560281</v>
      </c>
    </row>
    <row r="43" spans="1:14" x14ac:dyDescent="0.3">
      <c r="A43" s="5" t="s">
        <v>11</v>
      </c>
      <c r="B43" s="2">
        <v>12</v>
      </c>
    </row>
    <row r="44" spans="1:14" x14ac:dyDescent="0.3">
      <c r="A44" s="5" t="s">
        <v>12</v>
      </c>
      <c r="B44" s="2">
        <v>91</v>
      </c>
    </row>
    <row r="45" spans="1:14" x14ac:dyDescent="0.3">
      <c r="A45" s="5" t="s">
        <v>13</v>
      </c>
      <c r="B45" s="2">
        <v>12</v>
      </c>
    </row>
    <row r="46" spans="1:14" x14ac:dyDescent="0.3">
      <c r="A46" s="5" t="s">
        <v>14</v>
      </c>
      <c r="B46" s="2">
        <v>291</v>
      </c>
    </row>
    <row r="47" spans="1:14" x14ac:dyDescent="0.3">
      <c r="A47" s="5" t="s">
        <v>15</v>
      </c>
      <c r="B47" s="2">
        <v>53</v>
      </c>
    </row>
    <row r="48" spans="1:14" x14ac:dyDescent="0.3">
      <c r="A48" s="5" t="s">
        <v>16</v>
      </c>
      <c r="B48" s="2">
        <v>11</v>
      </c>
    </row>
    <row r="49" spans="1:6" x14ac:dyDescent="0.3">
      <c r="A49" s="5" t="s">
        <v>17</v>
      </c>
      <c r="B49" s="2">
        <v>2</v>
      </c>
    </row>
    <row r="50" spans="1:6" x14ac:dyDescent="0.3">
      <c r="A50" s="5" t="s">
        <v>0</v>
      </c>
      <c r="B50" s="2">
        <v>485</v>
      </c>
    </row>
    <row r="52" spans="1:6" x14ac:dyDescent="0.3">
      <c r="E52" s="1" t="s">
        <v>4</v>
      </c>
      <c r="F52" t="s">
        <v>20</v>
      </c>
    </row>
    <row r="53" spans="1:6" x14ac:dyDescent="0.3">
      <c r="E53" s="5" t="s">
        <v>18</v>
      </c>
      <c r="F53" s="2">
        <v>239</v>
      </c>
    </row>
    <row r="54" spans="1:6" x14ac:dyDescent="0.3">
      <c r="A54" s="1" t="s">
        <v>4</v>
      </c>
      <c r="B54" t="s">
        <v>20</v>
      </c>
      <c r="E54" s="5" t="s">
        <v>19</v>
      </c>
      <c r="F54" s="2">
        <v>246</v>
      </c>
    </row>
    <row r="55" spans="1:6" x14ac:dyDescent="0.3">
      <c r="A55" s="5" t="s">
        <v>18</v>
      </c>
      <c r="B55" s="2">
        <v>239</v>
      </c>
      <c r="E55" s="5" t="s">
        <v>0</v>
      </c>
      <c r="F55" s="2">
        <v>485</v>
      </c>
    </row>
    <row r="56" spans="1:6" x14ac:dyDescent="0.3">
      <c r="A56" s="5" t="s">
        <v>19</v>
      </c>
      <c r="B56" s="2">
        <v>246</v>
      </c>
    </row>
    <row r="57" spans="1:6" x14ac:dyDescent="0.3">
      <c r="A57" s="5" t="s">
        <v>0</v>
      </c>
      <c r="B57" s="2">
        <v>485</v>
      </c>
    </row>
    <row r="61" spans="1:6" x14ac:dyDescent="0.3">
      <c r="A61" s="1" t="s">
        <v>4</v>
      </c>
      <c r="B61" t="s">
        <v>22</v>
      </c>
    </row>
    <row r="62" spans="1:6" x14ac:dyDescent="0.3">
      <c r="A62" s="5" t="s">
        <v>21</v>
      </c>
      <c r="B62" s="2">
        <v>485</v>
      </c>
    </row>
    <row r="63" spans="1:6" x14ac:dyDescent="0.3">
      <c r="A63" s="5" t="s">
        <v>0</v>
      </c>
      <c r="B63" s="2">
        <v>485</v>
      </c>
    </row>
    <row r="66" spans="1:2" x14ac:dyDescent="0.3">
      <c r="A66" s="1" t="s">
        <v>4</v>
      </c>
      <c r="B66" t="s">
        <v>36</v>
      </c>
    </row>
    <row r="67" spans="1:2" x14ac:dyDescent="0.3">
      <c r="A67" s="5" t="s">
        <v>35</v>
      </c>
      <c r="B67" s="2">
        <v>52</v>
      </c>
    </row>
    <row r="68" spans="1:2" x14ac:dyDescent="0.3">
      <c r="A68" s="5" t="s">
        <v>33</v>
      </c>
      <c r="B68" s="2">
        <v>58</v>
      </c>
    </row>
    <row r="69" spans="1:2" x14ac:dyDescent="0.3">
      <c r="A69" s="5" t="s">
        <v>27</v>
      </c>
      <c r="B69" s="2">
        <v>70</v>
      </c>
    </row>
    <row r="70" spans="1:2" x14ac:dyDescent="0.3">
      <c r="A70" s="5" t="s">
        <v>29</v>
      </c>
      <c r="B70" s="2">
        <v>59</v>
      </c>
    </row>
    <row r="71" spans="1:2" x14ac:dyDescent="0.3">
      <c r="A71" s="5" t="s">
        <v>37</v>
      </c>
      <c r="B71" s="2">
        <v>59</v>
      </c>
    </row>
    <row r="72" spans="1:2" x14ac:dyDescent="0.3">
      <c r="A72" s="5" t="s">
        <v>34</v>
      </c>
      <c r="B72" s="2">
        <v>56</v>
      </c>
    </row>
    <row r="73" spans="1:2" x14ac:dyDescent="0.3">
      <c r="A73" s="5" t="s">
        <v>30</v>
      </c>
      <c r="B73" s="2">
        <v>59</v>
      </c>
    </row>
    <row r="74" spans="1:2" x14ac:dyDescent="0.3">
      <c r="A74" s="5" t="s">
        <v>31</v>
      </c>
      <c r="B74" s="2">
        <v>72</v>
      </c>
    </row>
    <row r="75" spans="1:2" x14ac:dyDescent="0.3">
      <c r="A75" s="5" t="s">
        <v>0</v>
      </c>
      <c r="B75" s="2">
        <v>485</v>
      </c>
    </row>
    <row r="77" spans="1:2" x14ac:dyDescent="0.3">
      <c r="A77" s="1" t="s">
        <v>4</v>
      </c>
      <c r="B77" t="s">
        <v>38</v>
      </c>
    </row>
    <row r="78" spans="1:2" x14ac:dyDescent="0.3">
      <c r="A78" s="5" t="s">
        <v>28</v>
      </c>
      <c r="B78" s="2">
        <v>297</v>
      </c>
    </row>
    <row r="79" spans="1:2" x14ac:dyDescent="0.3">
      <c r="A79" s="5" t="s">
        <v>32</v>
      </c>
      <c r="B79" s="2">
        <v>188</v>
      </c>
    </row>
    <row r="80" spans="1:2" x14ac:dyDescent="0.3">
      <c r="A80" s="5" t="s">
        <v>0</v>
      </c>
      <c r="B80" s="2">
        <v>485</v>
      </c>
    </row>
  </sheetData>
  <pageMargins left="0.7" right="0.7" top="0.75" bottom="0.75" header="0.3" footer="0.3"/>
  <pageSetup orientation="portrait" r:id="rId14"/>
  <drawing r:id="rId1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7B524-3818-4AE8-B3DD-84FBCFE91B83}">
  <dimension ref="Z1:AD23"/>
  <sheetViews>
    <sheetView tabSelected="1" zoomScale="70" zoomScaleNormal="70" workbookViewId="0">
      <selection activeCell="AK12" sqref="AK12"/>
    </sheetView>
  </sheetViews>
  <sheetFormatPr defaultRowHeight="14.4" x14ac:dyDescent="0.3"/>
  <cols>
    <col min="1" max="5" width="8.88671875" style="11"/>
    <col min="6" max="6" width="6.6640625" style="11" customWidth="1"/>
    <col min="7" max="27" width="8.88671875" style="11"/>
    <col min="28" max="28" width="0.44140625" style="11" customWidth="1"/>
    <col min="29" max="30" width="8.88671875" style="11" hidden="1" customWidth="1"/>
    <col min="31" max="16384" width="8.88671875" style="11"/>
  </cols>
  <sheetData>
    <row r="1" spans="26:29" x14ac:dyDescent="0.3">
      <c r="AC1"/>
    </row>
    <row r="2" spans="26:29" ht="15" customHeight="1" x14ac:dyDescent="0.3"/>
    <row r="13" spans="26:29" x14ac:dyDescent="0.3">
      <c r="Z13" s="16"/>
    </row>
    <row r="21" spans="27:29" x14ac:dyDescent="0.3">
      <c r="AA21" s="11" t="s">
        <v>39</v>
      </c>
    </row>
    <row r="22" spans="27:29" x14ac:dyDescent="0.3">
      <c r="AB22" s="12"/>
    </row>
    <row r="23" spans="27:29" x14ac:dyDescent="0.3">
      <c r="AB23"/>
      <c r="AC23" s="12"/>
    </row>
  </sheetData>
  <pageMargins left="0.7" right="0.7" top="0.75" bottom="0.75" header="0.3" footer="0.3"/>
  <pageSetup orientation="portrait" r:id="rId1"/>
  <drawing r:id="rId2"/>
  <legacyDrawing r:id="rId3"/>
  <extLst>
    <ext xmlns:x14="http://schemas.microsoft.com/office/spreadsheetml/2009/9/main" uri="{A8765BA9-456A-4dab-B4F3-ACF838C121DE}">
      <x14:slicerList>
        <x14:slicer r:id="rId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DDBE93A0-DB52-4C8D-B08A-D05708983ACE}">
  <ds:schemaRefs/>
</ds:datastoreItem>
</file>

<file path=customXml/itemProps2.xml><?xml version="1.0" encoding="utf-8"?>
<ds:datastoreItem xmlns:ds="http://schemas.openxmlformats.org/officeDocument/2006/customXml" ds:itemID="{723B6D99-5A07-4D98-A11A-0DFA48587D6D}">
  <ds:schemaRefs/>
</ds:datastoreItem>
</file>

<file path=customXml/itemProps3.xml><?xml version="1.0" encoding="utf-8"?>
<ds:datastoreItem xmlns:ds="http://schemas.openxmlformats.org/officeDocument/2006/customXml" ds:itemID="{6517D32F-1992-4928-80D2-04FC216E9E24}">
  <ds:schemaRefs/>
</ds:datastoreItem>
</file>

<file path=customXml/itemProps4.xml><?xml version="1.0" encoding="utf-8"?>
<ds:datastoreItem xmlns:ds="http://schemas.openxmlformats.org/officeDocument/2006/customXml" ds:itemID="{CE190059-064A-4946-9C59-D46504B29E52}">
  <ds:schemaRefs/>
</ds:datastoreItem>
</file>

<file path=customXml/itemProps5.xml><?xml version="1.0" encoding="utf-8"?>
<ds:datastoreItem xmlns:ds="http://schemas.openxmlformats.org/officeDocument/2006/customXml" ds:itemID="{E24CDAE2-4979-4D0C-B6A5-566361B1E6D0}">
  <ds:schemaRefs/>
</ds:datastoreItem>
</file>

<file path=customXml/itemProps6.xml><?xml version="1.0" encoding="utf-8"?>
<ds:datastoreItem xmlns:ds="http://schemas.openxmlformats.org/officeDocument/2006/customXml" ds:itemID="{B9E9A58D-9437-43A9-BA98-B4EE31CA23CC}">
  <ds:schemaRefs/>
</ds:datastoreItem>
</file>

<file path=customXml/itemProps7.xml><?xml version="1.0" encoding="utf-8"?>
<ds:datastoreItem xmlns:ds="http://schemas.openxmlformats.org/officeDocument/2006/customXml" ds:itemID="{6E1BDDB9-E983-4910-8FCB-18D38979CD02}">
  <ds:schemaRefs/>
</ds:datastoreItem>
</file>

<file path=customXml/itemProps8.xml><?xml version="1.0" encoding="utf-8"?>
<ds:datastoreItem xmlns:ds="http://schemas.openxmlformats.org/officeDocument/2006/customXml" ds:itemID="{39A9FD8B-9603-4051-8D9B-E8429F243641}">
  <ds:schemaRefs/>
</ds:datastoreItem>
</file>

<file path=customXml/itemProps9.xml><?xml version="1.0" encoding="utf-8"?>
<ds:datastoreItem xmlns:ds="http://schemas.openxmlformats.org/officeDocument/2006/customXml" ds:itemID="{F79ED9B5-A37B-44BF-B465-E95850D98E5B}">
  <ds:schemaRefs/>
</ds:datastoreItem>
</file>

<file path=customXml/itemProps10.xml><?xml version="1.0" encoding="utf-8"?>
<ds:datastoreItem xmlns:ds="http://schemas.openxmlformats.org/officeDocument/2006/customXml" ds:itemID="{D1077B61-A8EC-4778-B521-8B131D0DB230}">
  <ds:schemaRefs>
    <ds:schemaRef ds:uri="http://schemas.microsoft.com/DataMashup"/>
  </ds:schemaRefs>
</ds:datastoreItem>
</file>

<file path=customXml/itemProps11.xml><?xml version="1.0" encoding="utf-8"?>
<ds:datastoreItem xmlns:ds="http://schemas.openxmlformats.org/officeDocument/2006/customXml" ds:itemID="{30499E8E-521F-4B24-AAF7-77D8531F768F}">
  <ds:schemaRefs/>
</ds:datastoreItem>
</file>

<file path=customXml/itemProps12.xml><?xml version="1.0" encoding="utf-8"?>
<ds:datastoreItem xmlns:ds="http://schemas.openxmlformats.org/officeDocument/2006/customXml" ds:itemID="{8DA54D9D-5C62-4684-BD37-95D7C63B7B73}">
  <ds:schemaRefs/>
</ds:datastoreItem>
</file>

<file path=customXml/itemProps13.xml><?xml version="1.0" encoding="utf-8"?>
<ds:datastoreItem xmlns:ds="http://schemas.openxmlformats.org/officeDocument/2006/customXml" ds:itemID="{8A7D66FC-6BBA-46E5-B87D-75FF2B80A88B}">
  <ds:schemaRefs/>
</ds:datastoreItem>
</file>

<file path=customXml/itemProps14.xml><?xml version="1.0" encoding="utf-8"?>
<ds:datastoreItem xmlns:ds="http://schemas.openxmlformats.org/officeDocument/2006/customXml" ds:itemID="{B92952A1-8AD2-47D7-9549-F250DCE033E3}">
  <ds:schemaRefs/>
</ds:datastoreItem>
</file>

<file path=customXml/itemProps15.xml><?xml version="1.0" encoding="utf-8"?>
<ds:datastoreItem xmlns:ds="http://schemas.openxmlformats.org/officeDocument/2006/customXml" ds:itemID="{956DE737-6E75-4500-AFC7-D2C75E5EA9ED}">
  <ds:schemaRefs/>
</ds:datastoreItem>
</file>

<file path=customXml/itemProps16.xml><?xml version="1.0" encoding="utf-8"?>
<ds:datastoreItem xmlns:ds="http://schemas.openxmlformats.org/officeDocument/2006/customXml" ds:itemID="{B9796B43-61D3-4751-8EB1-1A8457B8786E}">
  <ds:schemaRefs/>
</ds:datastoreItem>
</file>

<file path=customXml/itemProps17.xml><?xml version="1.0" encoding="utf-8"?>
<ds:datastoreItem xmlns:ds="http://schemas.openxmlformats.org/officeDocument/2006/customXml" ds:itemID="{F78497A1-4869-4F73-8275-092B8BD4FDE6}">
  <ds:schemaRefs/>
</ds:datastoreItem>
</file>

<file path=customXml/itemProps18.xml><?xml version="1.0" encoding="utf-8"?>
<ds:datastoreItem xmlns:ds="http://schemas.openxmlformats.org/officeDocument/2006/customXml" ds:itemID="{C764B15E-828A-44BF-8A52-F89924C67B3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07 swagat</cp:lastModifiedBy>
  <dcterms:created xsi:type="dcterms:W3CDTF">2015-06-05T18:17:20Z</dcterms:created>
  <dcterms:modified xsi:type="dcterms:W3CDTF">2026-08-31T15:32:16Z</dcterms:modified>
</cp:coreProperties>
</file>